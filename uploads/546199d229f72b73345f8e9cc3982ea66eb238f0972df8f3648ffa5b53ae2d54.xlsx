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Daily Task Log" sheetId="1" state="visible" r:id="rId3"/>
    <sheet name="⭐ My Ratings" sheetId="2" state="visible" r:id="rId4"/>
    <sheet name="📊 Summary Dashboard" sheetId="3" state="visible" r:id="rId5"/>
    <sheet name="📌 How To Use" sheetId="4" state="visible" r:id="rId6"/>
  </sheets>
  <definedNames>
    <definedName function="false" hidden="false" localSheetId="1" name="_xlnm.Print_Titles" vbProcedure="false">'⭐ My Ratings'!$1:$4</definedName>
    <definedName function="false" hidden="false" localSheetId="2" name="_xlnm.Print_Titles" vbProcedure="false">'📊 Summary Dashboard'!$1:$4</definedName>
    <definedName function="false" hidden="false" localSheetId="0" name="_xlnm.Print_Titles" vbProcedure="false">'📋 Daily Task Log'!$1:$4</definedName>
    <definedName function="false" hidden="false" localSheetId="3" name="_xlnm.Print_Titles" vbProcedure="false">'📌 How To Use'!$1:$4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<sst xmlns="http://schemas.openxmlformats.org/spreadsheetml/2006/main" count="108" uniqueCount="102">
  <si>
    <t xml:space="preserve">🖥️  SOFTWARE TEAM — DAILY TASK LOG  |  Office jaane se pehle fill karna zaroori hai!</t>
  </si>
  <si>
    <t xml:space="preserve">⚠️  Work Mode mein Office ya WFH zaroor select karo  |  Jitna zyada WFH → utni rating automatic kam  |  Best performer = Quarterly Award 🏆</t>
  </si>
  <si>
    <t xml:space="preserve">📝  HOW TO FILL: Date → Name → Task → Project → Hours → Tasks Done → Bugs Fixed → Work Mode (dropdown) → Remarks</t>
  </si>
  <si>
    <t xml:space="preserve">DATE</t>
  </si>
  <si>
    <t xml:space="preserve">EMPLOYEE NAME</t>
  </si>
  <si>
    <t xml:space="preserve">TASK DESCRIPTION</t>
  </si>
  <si>
    <t xml:space="preserve">MODULE / PROJECT</t>
  </si>
  <si>
    <t xml:space="preserve">HOURS WORKED</t>
  </si>
  <si>
    <t xml:space="preserve">TASKS COMPLETED</t>
  </si>
  <si>
    <t xml:space="preserve">BUGS FIXED</t>
  </si>
  <si>
    <t xml:space="preserve">WORK MODE
(Office/WFH)</t>
  </si>
  <si>
    <t xml:space="preserve">WFH DAYS
(Auto Count)</t>
  </si>
  <si>
    <t xml:space="preserve">REMARKS</t>
  </si>
  <si>
    <t xml:space="preserve">⭐  TECH LEAD RATINGS  —  SIRF TU YAHAN AANA  |  Weekly (Har Friday) Rate Karo</t>
  </si>
  <si>
    <t xml:space="preserve">✅  Bas 3 cheezein bharo: Date + Employee Name + Rating (1-10) → Baaki sab AUTOMATIC!</t>
  </si>
  <si>
    <t xml:space="preserve">💡  Rating Guide: 9-10=Outstanding | 7-8=Good | 5-6=Average | 3-4=Below Avg | 1-2=Poor</t>
  </si>
  <si>
    <t xml:space="preserve">WEEK / DATE</t>
  </si>
  <si>
    <t xml:space="preserve">⭐ RATING (1-10)
TU YAHAN LIKHNA</t>
  </si>
  <si>
    <t xml:space="preserve">AUTO STATUS</t>
  </si>
  <si>
    <t xml:space="preserve">WFH THIS WEEK</t>
  </si>
  <si>
    <t xml:space="preserve">NOTES / REASON</t>
  </si>
  <si>
    <t xml:space="preserve">📊  SOFTWARE TEAM PERFORMANCE SUMMARY  |  Director Sir View  |  100% Auto-Calculated 🚀</t>
  </si>
  <si>
    <t xml:space="preserve">🔒  Yahan kuch fill nahi karna — sab kuch automatic update hota hai</t>
  </si>
  <si>
    <t xml:space="preserve">DAYS LOGGED</t>
  </si>
  <si>
    <t xml:space="preserve">WFH DAYS</t>
  </si>
  <si>
    <t xml:space="preserve">OFFICE DAYS</t>
  </si>
  <si>
    <t xml:space="preserve">WFH %</t>
  </si>
  <si>
    <t xml:space="preserve">AVG RATING
(Raw)</t>
  </si>
  <si>
    <t xml:space="preserve">WFH
DEDUCTION</t>
  </si>
  <si>
    <t xml:space="preserve">✅ FINAL
RATING /10</t>
  </si>
  <si>
    <t xml:space="preserve">PERFORMANCE
STATUS</t>
  </si>
  <si>
    <t xml:space="preserve">INCENTIVE
IMPACT</t>
  </si>
  <si>
    <t xml:space="preserve">Aarav Sharma</t>
  </si>
  <si>
    <t xml:space="preserve">Priya Singh</t>
  </si>
  <si>
    <t xml:space="preserve">Rohit Kumar</t>
  </si>
  <si>
    <t xml:space="preserve">Neha Gupta</t>
  </si>
  <si>
    <t xml:space="preserve">Amit Verma</t>
  </si>
  <si>
    <t xml:space="preserve">Sneha Joshi</t>
  </si>
  <si>
    <t xml:space="preserve">Vikram Rao</t>
  </si>
  <si>
    <t xml:space="preserve">Pooja Mehta</t>
  </si>
  <si>
    <t xml:space="preserve">Rahul Nair</t>
  </si>
  <si>
    <t xml:space="preserve">Ananya Patel</t>
  </si>
  <si>
    <t xml:space="preserve">Karan Malhotra</t>
  </si>
  <si>
    <t xml:space="preserve">Divya Reddy</t>
  </si>
  <si>
    <t xml:space="preserve">Suresh Iyer</t>
  </si>
  <si>
    <t xml:space="preserve">Meera Pillai</t>
  </si>
  <si>
    <t xml:space="preserve">Arjun Saxena</t>
  </si>
  <si>
    <t xml:space="preserve">📊 TEAM AVERAGE</t>
  </si>
  <si>
    <t xml:space="preserve">📌  COMPLETE GUIDE — KAISE USE KARNA HAI</t>
  </si>
  <si>
    <t xml:space="preserve">⭐  TECH LEAD (TU) — TERA KAAM</t>
  </si>
  <si>
    <t xml:space="preserve">1.</t>
  </si>
  <si>
    <t xml:space="preserve">Ek baar setup</t>
  </si>
  <si>
    <t xml:space="preserve">📊 Summary Dashboard mein column A mein apni team ke actual naam likho</t>
  </si>
  <si>
    <t xml:space="preserve">Sirf ek baar karna hai</t>
  </si>
  <si>
    <t xml:space="preserve">2.</t>
  </si>
  <si>
    <t xml:space="preserve">Har Friday rating do</t>
  </si>
  <si>
    <t xml:space="preserve">⭐ My Ratings sheet mein: Date + Employee Name + Rating (1-10)</t>
  </si>
  <si>
    <t xml:space="preserve">Bas 5-10 minute lagenge</t>
  </si>
  <si>
    <t xml:space="preserve">3.</t>
  </si>
  <si>
    <t xml:space="preserve">Summary dekho</t>
  </si>
  <si>
    <t xml:space="preserve">📊 Summary Dashboard automatic update hoga</t>
  </si>
  <si>
    <t xml:space="preserve">Director sir bhi yahan dekh sakte hain</t>
  </si>
  <si>
    <t xml:space="preserve">👨‍💻  EMPLOYEES — UNKA KAAM (unhe batao)</t>
  </si>
  <si>
    <t xml:space="preserve">Daily Task Log kholo</t>
  </si>
  <si>
    <t xml:space="preserve">📋 Daily Task Log sheet pe jaao</t>
  </si>
  <si>
    <t xml:space="preserve">Roz karna hai</t>
  </si>
  <si>
    <t xml:space="preserve">Apni row fill karo</t>
  </si>
  <si>
    <t xml:space="preserve">Date, Naam, Task, Project, Hours, Tasks, Bugs fill karo</t>
  </si>
  <si>
    <t xml:space="preserve">Office se jaane se pehle</t>
  </si>
  <si>
    <t xml:space="preserve">Work Mode select karo</t>
  </si>
  <si>
    <t xml:space="preserve">Column H mein dropdown se Office ya WFH choose karo</t>
  </si>
  <si>
    <t xml:space="preserve">Bahut zaroori hai!</t>
  </si>
  <si>
    <t xml:space="preserve">📉  WFH DEDUCTION TABLE (Automatic)</t>
  </si>
  <si>
    <t xml:space="preserve">Deduction</t>
  </si>
  <si>
    <t xml:space="preserve">Final Rating Effect</t>
  </si>
  <si>
    <t xml:space="preserve">Incentive</t>
  </si>
  <si>
    <t xml:space="preserve">0%</t>
  </si>
  <si>
    <t xml:space="preserve">0 points</t>
  </si>
  <si>
    <t xml:space="preserve">No change</t>
  </si>
  <si>
    <t xml:space="preserve">💚 Full Incentive</t>
  </si>
  <si>
    <t xml:space="preserve">1–10%</t>
  </si>
  <si>
    <t xml:space="preserve">-0.5</t>
  </si>
  <si>
    <t xml:space="preserve">Thodi si kam</t>
  </si>
  <si>
    <t xml:space="preserve">⬇ -5%</t>
  </si>
  <si>
    <t xml:space="preserve">11–30%</t>
  </si>
  <si>
    <t xml:space="preserve">-1.0</t>
  </si>
  <si>
    <t xml:space="preserve">Noticeable</t>
  </si>
  <si>
    <t xml:space="preserve">⬇ -10%</t>
  </si>
  <si>
    <t xml:space="preserve">31–50%</t>
  </si>
  <si>
    <t xml:space="preserve">-2.0</t>
  </si>
  <si>
    <t xml:space="preserve">Significant</t>
  </si>
  <si>
    <t xml:space="preserve">⬇ -20%</t>
  </si>
  <si>
    <t xml:space="preserve">&gt;50%</t>
  </si>
  <si>
    <t xml:space="preserve">-3.0 max</t>
  </si>
  <si>
    <t xml:space="preserve">Bahut zyada</t>
  </si>
  <si>
    <t xml:space="preserve">⬇ -30% 🔴</t>
  </si>
  <si>
    <t xml:space="preserve">🔒  DATA CHANGE ROKNE KE LIYE — GOOGLE SHEETS PROTECTION</t>
  </si>
  <si>
    <t xml:space="preserve">1.  File Google Sheets mein upload karo</t>
  </si>
  <si>
    <t xml:space="preserve">2.  📊 Summary Dashboard tab pe right click karo → 'Protect Sheet' → Apna email daalo → Save</t>
  </si>
  <si>
    <t xml:space="preserve">3.  ⭐ My Ratings tab pe bhi same karo — sirf tu edit kar paaye</t>
  </si>
  <si>
    <t xml:space="preserve">4.  📋 Daily Task Log mein employees ko sirf apni row edit karne do</t>
  </si>
  <si>
    <t xml:space="preserve">5.  Ab koi bhi data change nahi kar payega bina teri permission ke! ✅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</si>
</sst>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7030A0"/>
      <name val="Arial"/>
      <family val="0"/>
      <charset val="1"/>
    </font>
    <font>
      <b val="true"/>
      <i val="true"/>
      <sz val="11"/>
      <color rgb="FF7030A0"/>
      <name val="Arial"/>
      <family val="0"/>
      <charset val="1"/>
    </font>
    <font>
      <sz val="10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37562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E4F8A"/>
      </patternFill>
    </fill>
    <fill>
      <patternFill patternType="solid">
        <fgColor rgb="FFF8FAFF"/>
        <bgColor rgb="FFFFFFFF"/>
      </patternFill>
    </fill>
    <fill>
      <patternFill patternType="solid">
        <fgColor rgb="FFEEF4FF"/>
        <bgColor rgb="FFF8FAFF"/>
      </patternFill>
    </fill>
    <fill>
      <patternFill patternType="solid">
        <fgColor rgb="FF2E4F8A"/>
        <bgColor rgb="FF1F3864"/>
      </patternFill>
    </fill>
    <fill>
      <patternFill patternType="solid">
        <fgColor rgb="FFFFFFFF"/>
        <bgColor rgb="FFF8FAFF"/>
      </patternFill>
    </fill>
    <fill>
      <patternFill patternType="solid">
        <fgColor rgb="FF7030A0"/>
        <bgColor rgb="FF993366"/>
      </patternFill>
    </fill>
    <fill>
      <patternFill patternType="solid">
        <fgColor rgb="FFF3EAFF"/>
        <bgColor rgb="FFEEF4FF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EEF4FF"/>
      </patternFill>
    </fill>
    <fill>
      <patternFill patternType="solid">
        <fgColor rgb="FFF0FFF0"/>
        <bgColor rgb="FFF8FAFF"/>
      </patternFill>
    </fill>
    <fill>
      <patternFill patternType="solid">
        <fgColor rgb="FFC55A11"/>
        <bgColor rgb="FF993300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C0006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7030A0"/>
      <rgbColor rgb="FFFFF2CC"/>
      <rgbColor rgb="FFF0FFF0"/>
      <rgbColor rgb="FF660066"/>
      <rgbColor rgb="FFFF8080"/>
      <rgbColor rgb="FF0066CC"/>
      <rgbColor rgb="FFF3EA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F"/>
      <rgbColor rgb="FFC6EFCE"/>
      <rgbColor rgb="FFE2EFDA"/>
      <rgbColor rgb="FFF8FA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4F8A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F8A"/>
    <pageSetUpPr fitToPage="false"/>
  </sheetPr>
  <dimension ref="A1:J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9" min="8" style="0" width="16"/>
    <col collapsed="false" customWidth="true" hidden="false" outlineLevel="0" max="10" min="10" style="0" width="2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33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 customFormat="false" ht="21.75" hidden="false" customHeight="true" outlineLevel="0" collapsed="false">
      <c r="A5" s="5"/>
      <c r="B5" s="5"/>
      <c r="C5" s="6"/>
      <c r="D5" s="5"/>
      <c r="E5" s="5"/>
      <c r="F5" s="5"/>
      <c r="G5" s="5"/>
      <c r="H5" s="5"/>
      <c r="I5" s="7" t="n">
        <f aca="false">COUNTIF($H$5:H5,"WFH")</f>
        <v>0</v>
      </c>
      <c r="J5" s="5"/>
    </row>
    <row r="6" customFormat="false" ht="21.75" hidden="false" customHeight="true" outlineLevel="0" collapsed="false">
      <c r="A6" s="8"/>
      <c r="B6" s="8"/>
      <c r="C6" s="9"/>
      <c r="D6" s="8"/>
      <c r="E6" s="8"/>
      <c r="F6" s="8"/>
      <c r="G6" s="8"/>
      <c r="H6" s="8"/>
      <c r="I6" s="10" t="n">
        <f aca="false">COUNTIF($H$5:H6,"WFH")</f>
        <v>0</v>
      </c>
      <c r="J6" s="8"/>
    </row>
    <row r="7" customFormat="false" ht="21.75" hidden="false" customHeight="true" outlineLevel="0" collapsed="false">
      <c r="A7" s="5"/>
      <c r="B7" s="5"/>
      <c r="C7" s="6"/>
      <c r="D7" s="5"/>
      <c r="E7" s="5"/>
      <c r="F7" s="5"/>
      <c r="G7" s="5"/>
      <c r="H7" s="5"/>
      <c r="I7" s="7" t="n">
        <f aca="false">COUNTIF($H$5:H7,"WFH")</f>
        <v>0</v>
      </c>
      <c r="J7" s="5"/>
    </row>
    <row r="8" customFormat="false" ht="21.75" hidden="false" customHeight="true" outlineLevel="0" collapsed="false">
      <c r="A8" s="8"/>
      <c r="B8" s="8"/>
      <c r="C8" s="9"/>
      <c r="D8" s="8"/>
      <c r="E8" s="8"/>
      <c r="F8" s="8"/>
      <c r="G8" s="8"/>
      <c r="H8" s="8"/>
      <c r="I8" s="10" t="n">
        <f aca="false">COUNTIF($H$5:H8,"WFH")</f>
        <v>0</v>
      </c>
      <c r="J8" s="8"/>
    </row>
    <row r="9" customFormat="false" ht="21.75" hidden="false" customHeight="true" outlineLevel="0" collapsed="false">
      <c r="A9" s="5"/>
      <c r="B9" s="5"/>
      <c r="C9" s="6"/>
      <c r="D9" s="5"/>
      <c r="E9" s="5"/>
      <c r="F9" s="5"/>
      <c r="G9" s="5"/>
      <c r="H9" s="5"/>
      <c r="I9" s="7" t="n">
        <f aca="false">COUNTIF($H$5:H9,"WFH")</f>
        <v>0</v>
      </c>
      <c r="J9" s="5"/>
    </row>
    <row r="10" customFormat="false" ht="21.75" hidden="false" customHeight="true" outlineLevel="0" collapsed="false">
      <c r="A10" s="8"/>
      <c r="B10" s="8"/>
      <c r="C10" s="9"/>
      <c r="D10" s="8"/>
      <c r="E10" s="8"/>
      <c r="F10" s="8"/>
      <c r="G10" s="8"/>
      <c r="H10" s="8"/>
      <c r="I10" s="10" t="n">
        <f aca="false">COUNTIF($H$5:H10,"WFH")</f>
        <v>0</v>
      </c>
      <c r="J10" s="8"/>
    </row>
    <row r="11" customFormat="false" ht="21.75" hidden="false" customHeight="true" outlineLevel="0" collapsed="false">
      <c r="A11" s="5"/>
      <c r="B11" s="5"/>
      <c r="C11" s="6"/>
      <c r="D11" s="5"/>
      <c r="E11" s="5"/>
      <c r="F11" s="5"/>
      <c r="G11" s="5"/>
      <c r="H11" s="5"/>
      <c r="I11" s="7" t="n">
        <f aca="false">COUNTIF($H$5:H11,"WFH")</f>
        <v>0</v>
      </c>
      <c r="J11" s="5"/>
    </row>
    <row r="12" customFormat="false" ht="21.75" hidden="false" customHeight="true" outlineLevel="0" collapsed="false">
      <c r="A12" s="8"/>
      <c r="B12" s="8"/>
      <c r="C12" s="9"/>
      <c r="D12" s="8"/>
      <c r="E12" s="8"/>
      <c r="F12" s="8"/>
      <c r="G12" s="8"/>
      <c r="H12" s="8"/>
      <c r="I12" s="10" t="n">
        <f aca="false">COUNTIF($H$5:H12,"WFH")</f>
        <v>0</v>
      </c>
      <c r="J12" s="8"/>
    </row>
    <row r="13" customFormat="false" ht="21.75" hidden="false" customHeight="true" outlineLevel="0" collapsed="false">
      <c r="A13" s="5"/>
      <c r="B13" s="5"/>
      <c r="C13" s="6"/>
      <c r="D13" s="5"/>
      <c r="E13" s="5"/>
      <c r="F13" s="5"/>
      <c r="G13" s="5"/>
      <c r="H13" s="5"/>
      <c r="I13" s="7" t="n">
        <f aca="false">COUNTIF($H$5:H13,"WFH")</f>
        <v>0</v>
      </c>
      <c r="J13" s="5"/>
    </row>
    <row r="14" customFormat="false" ht="21.75" hidden="false" customHeight="true" outlineLevel="0" collapsed="false">
      <c r="A14" s="8"/>
      <c r="B14" s="8"/>
      <c r="C14" s="9"/>
      <c r="D14" s="8"/>
      <c r="E14" s="8"/>
      <c r="F14" s="8"/>
      <c r="G14" s="8"/>
      <c r="H14" s="8"/>
      <c r="I14" s="10" t="n">
        <f aca="false">COUNTIF($H$5:H14,"WFH")</f>
        <v>0</v>
      </c>
      <c r="J14" s="8"/>
    </row>
    <row r="15" customFormat="false" ht="21.75" hidden="false" customHeight="true" outlineLevel="0" collapsed="false">
      <c r="A15" s="5"/>
      <c r="B15" s="5"/>
      <c r="C15" s="6"/>
      <c r="D15" s="5"/>
      <c r="E15" s="5"/>
      <c r="F15" s="5"/>
      <c r="G15" s="5"/>
      <c r="H15" s="5"/>
      <c r="I15" s="7" t="n">
        <f aca="false">COUNTIF($H$5:H15,"WFH")</f>
        <v>0</v>
      </c>
      <c r="J15" s="5"/>
    </row>
    <row r="16" customFormat="false" ht="21.75" hidden="false" customHeight="true" outlineLevel="0" collapsed="false">
      <c r="A16" s="8"/>
      <c r="B16" s="8"/>
      <c r="C16" s="9"/>
      <c r="D16" s="8"/>
      <c r="E16" s="8"/>
      <c r="F16" s="8"/>
      <c r="G16" s="8"/>
      <c r="H16" s="8"/>
      <c r="I16" s="10" t="n">
        <f aca="false">COUNTIF($H$5:H16,"WFH")</f>
        <v>0</v>
      </c>
      <c r="J16" s="8"/>
    </row>
    <row r="17" customFormat="false" ht="21.75" hidden="false" customHeight="true" outlineLevel="0" collapsed="false">
      <c r="A17" s="5"/>
      <c r="B17" s="5"/>
      <c r="C17" s="6"/>
      <c r="D17" s="5"/>
      <c r="E17" s="5"/>
      <c r="F17" s="5"/>
      <c r="G17" s="5"/>
      <c r="H17" s="5"/>
      <c r="I17" s="7" t="n">
        <f aca="false">COUNTIF($H$5:H17,"WFH")</f>
        <v>0</v>
      </c>
      <c r="J17" s="5"/>
    </row>
    <row r="18" customFormat="false" ht="21.75" hidden="false" customHeight="true" outlineLevel="0" collapsed="false">
      <c r="A18" s="8"/>
      <c r="B18" s="8"/>
      <c r="C18" s="9"/>
      <c r="D18" s="8"/>
      <c r="E18" s="8"/>
      <c r="F18" s="8"/>
      <c r="G18" s="8"/>
      <c r="H18" s="8"/>
      <c r="I18" s="10" t="n">
        <f aca="false">COUNTIF($H$5:H18,"WFH")</f>
        <v>0</v>
      </c>
      <c r="J18" s="8"/>
    </row>
    <row r="19" customFormat="false" ht="21.75" hidden="false" customHeight="true" outlineLevel="0" collapsed="false">
      <c r="A19" s="5"/>
      <c r="B19" s="5"/>
      <c r="C19" s="6"/>
      <c r="D19" s="5"/>
      <c r="E19" s="5"/>
      <c r="F19" s="5"/>
      <c r="G19" s="5"/>
      <c r="H19" s="5"/>
      <c r="I19" s="7" t="n">
        <f aca="false">COUNTIF($H$5:H19,"WFH")</f>
        <v>0</v>
      </c>
      <c r="J19" s="5"/>
    </row>
    <row r="20" customFormat="false" ht="21.75" hidden="false" customHeight="true" outlineLevel="0" collapsed="false">
      <c r="A20" s="8"/>
      <c r="B20" s="8"/>
      <c r="C20" s="9"/>
      <c r="D20" s="8"/>
      <c r="E20" s="8"/>
      <c r="F20" s="8"/>
      <c r="G20" s="8"/>
      <c r="H20" s="8"/>
      <c r="I20" s="10" t="n">
        <f aca="false">COUNTIF($H$5:H20,"WFH")</f>
        <v>0</v>
      </c>
      <c r="J20" s="8"/>
    </row>
    <row r="21" customFormat="false" ht="21.75" hidden="false" customHeight="true" outlineLevel="0" collapsed="false">
      <c r="A21" s="5"/>
      <c r="B21" s="5"/>
      <c r="C21" s="6"/>
      <c r="D21" s="5"/>
      <c r="E21" s="5"/>
      <c r="F21" s="5"/>
      <c r="G21" s="5"/>
      <c r="H21" s="5"/>
      <c r="I21" s="7" t="n">
        <f aca="false">COUNTIF($H$5:H21,"WFH")</f>
        <v>0</v>
      </c>
      <c r="J21" s="5"/>
    </row>
    <row r="22" customFormat="false" ht="21.75" hidden="false" customHeight="true" outlineLevel="0" collapsed="false">
      <c r="A22" s="8"/>
      <c r="B22" s="8"/>
      <c r="C22" s="9"/>
      <c r="D22" s="8"/>
      <c r="E22" s="8"/>
      <c r="F22" s="8"/>
      <c r="G22" s="8"/>
      <c r="H22" s="8"/>
      <c r="I22" s="10" t="n">
        <f aca="false">COUNTIF($H$5:H22,"WFH")</f>
        <v>0</v>
      </c>
      <c r="J22" s="8"/>
    </row>
    <row r="23" customFormat="false" ht="21.75" hidden="false" customHeight="true" outlineLevel="0" collapsed="false">
      <c r="A23" s="5"/>
      <c r="B23" s="5"/>
      <c r="C23" s="6"/>
      <c r="D23" s="5"/>
      <c r="E23" s="5"/>
      <c r="F23" s="5"/>
      <c r="G23" s="5"/>
      <c r="H23" s="5"/>
      <c r="I23" s="7" t="n">
        <f aca="false">COUNTIF($H$5:H23,"WFH")</f>
        <v>0</v>
      </c>
      <c r="J23" s="5"/>
    </row>
    <row r="24" customFormat="false" ht="21.75" hidden="false" customHeight="true" outlineLevel="0" collapsed="false">
      <c r="A24" s="8"/>
      <c r="B24" s="8"/>
      <c r="C24" s="9"/>
      <c r="D24" s="8"/>
      <c r="E24" s="8"/>
      <c r="F24" s="8"/>
      <c r="G24" s="8"/>
      <c r="H24" s="8"/>
      <c r="I24" s="10" t="n">
        <f aca="false">COUNTIF($H$5:H24,"WFH")</f>
        <v>0</v>
      </c>
      <c r="J24" s="8"/>
    </row>
    <row r="25" customFormat="false" ht="21.75" hidden="false" customHeight="true" outlineLevel="0" collapsed="false">
      <c r="A25" s="5"/>
      <c r="B25" s="5"/>
      <c r="C25" s="6"/>
      <c r="D25" s="5"/>
      <c r="E25" s="5"/>
      <c r="F25" s="5"/>
      <c r="G25" s="5"/>
      <c r="H25" s="5"/>
      <c r="I25" s="7" t="n">
        <f aca="false">COUNTIF($H$5:H25,"WFH")</f>
        <v>0</v>
      </c>
      <c r="J25" s="5"/>
    </row>
    <row r="26" customFormat="false" ht="21.75" hidden="false" customHeight="true" outlineLevel="0" collapsed="false">
      <c r="A26" s="8"/>
      <c r="B26" s="8"/>
      <c r="C26" s="9"/>
      <c r="D26" s="8"/>
      <c r="E26" s="8"/>
      <c r="F26" s="8"/>
      <c r="G26" s="8"/>
      <c r="H26" s="8"/>
      <c r="I26" s="10" t="n">
        <f aca="false">COUNTIF($H$5:H26,"WFH")</f>
        <v>0</v>
      </c>
      <c r="J26" s="8"/>
    </row>
    <row r="27" customFormat="false" ht="21.75" hidden="false" customHeight="true" outlineLevel="0" collapsed="false">
      <c r="A27" s="5"/>
      <c r="B27" s="5"/>
      <c r="C27" s="6"/>
      <c r="D27" s="5"/>
      <c r="E27" s="5"/>
      <c r="F27" s="5"/>
      <c r="G27" s="5"/>
      <c r="H27" s="5"/>
      <c r="I27" s="7" t="n">
        <f aca="false">COUNTIF($H$5:H27,"WFH")</f>
        <v>0</v>
      </c>
      <c r="J27" s="5"/>
    </row>
    <row r="28" customFormat="false" ht="21.75" hidden="false" customHeight="true" outlineLevel="0" collapsed="false">
      <c r="A28" s="8"/>
      <c r="B28" s="8"/>
      <c r="C28" s="9"/>
      <c r="D28" s="8"/>
      <c r="E28" s="8"/>
      <c r="F28" s="8"/>
      <c r="G28" s="8"/>
      <c r="H28" s="8"/>
      <c r="I28" s="10" t="n">
        <f aca="false">COUNTIF($H$5:H28,"WFH")</f>
        <v>0</v>
      </c>
      <c r="J28" s="8"/>
    </row>
    <row r="29" customFormat="false" ht="21.75" hidden="false" customHeight="true" outlineLevel="0" collapsed="false">
      <c r="A29" s="5"/>
      <c r="B29" s="5"/>
      <c r="C29" s="6"/>
      <c r="D29" s="5"/>
      <c r="E29" s="5"/>
      <c r="F29" s="5"/>
      <c r="G29" s="5"/>
      <c r="H29" s="5"/>
      <c r="I29" s="7" t="n">
        <f aca="false">COUNTIF($H$5:H29,"WFH")</f>
        <v>0</v>
      </c>
      <c r="J29" s="5"/>
    </row>
    <row r="30" customFormat="false" ht="21.75" hidden="false" customHeight="true" outlineLevel="0" collapsed="false">
      <c r="A30" s="8"/>
      <c r="B30" s="8"/>
      <c r="C30" s="9"/>
      <c r="D30" s="8"/>
      <c r="E30" s="8"/>
      <c r="F30" s="8"/>
      <c r="G30" s="8"/>
      <c r="H30" s="8"/>
      <c r="I30" s="10" t="n">
        <f aca="false">COUNTIF($H$5:H30,"WFH")</f>
        <v>0</v>
      </c>
      <c r="J30" s="8"/>
    </row>
    <row r="31" customFormat="false" ht="21.75" hidden="false" customHeight="true" outlineLevel="0" collapsed="false">
      <c r="A31" s="5"/>
      <c r="B31" s="5"/>
      <c r="C31" s="6"/>
      <c r="D31" s="5"/>
      <c r="E31" s="5"/>
      <c r="F31" s="5"/>
      <c r="G31" s="5"/>
      <c r="H31" s="5"/>
      <c r="I31" s="7" t="n">
        <f aca="false">COUNTIF($H$5:H31,"WFH")</f>
        <v>0</v>
      </c>
      <c r="J31" s="5"/>
    </row>
    <row r="32" customFormat="false" ht="21.75" hidden="false" customHeight="true" outlineLevel="0" collapsed="false">
      <c r="A32" s="8"/>
      <c r="B32" s="8"/>
      <c r="C32" s="9"/>
      <c r="D32" s="8"/>
      <c r="E32" s="8"/>
      <c r="F32" s="8"/>
      <c r="G32" s="8"/>
      <c r="H32" s="8"/>
      <c r="I32" s="10" t="n">
        <f aca="false">COUNTIF($H$5:H32,"WFH")</f>
        <v>0</v>
      </c>
      <c r="J32" s="8"/>
    </row>
    <row r="33" customFormat="false" ht="21.75" hidden="false" customHeight="true" outlineLevel="0" collapsed="false">
      <c r="A33" s="5"/>
      <c r="B33" s="5"/>
      <c r="C33" s="6"/>
      <c r="D33" s="5"/>
      <c r="E33" s="5"/>
      <c r="F33" s="5"/>
      <c r="G33" s="5"/>
      <c r="H33" s="5"/>
      <c r="I33" s="7" t="n">
        <f aca="false">COUNTIF($H$5:H33,"WFH")</f>
        <v>0</v>
      </c>
      <c r="J33" s="5"/>
    </row>
    <row r="34" customFormat="false" ht="21.75" hidden="false" customHeight="true" outlineLevel="0" collapsed="false">
      <c r="A34" s="8"/>
      <c r="B34" s="8"/>
      <c r="C34" s="9"/>
      <c r="D34" s="8"/>
      <c r="E34" s="8"/>
      <c r="F34" s="8"/>
      <c r="G34" s="8"/>
      <c r="H34" s="8"/>
      <c r="I34" s="10" t="n">
        <f aca="false">COUNTIF($H$5:H34,"WFH")</f>
        <v>0</v>
      </c>
      <c r="J34" s="8"/>
    </row>
    <row r="35" customFormat="false" ht="21.75" hidden="false" customHeight="true" outlineLevel="0" collapsed="false">
      <c r="A35" s="5"/>
      <c r="B35" s="5"/>
      <c r="C35" s="6"/>
      <c r="D35" s="5"/>
      <c r="E35" s="5"/>
      <c r="F35" s="5"/>
      <c r="G35" s="5"/>
      <c r="H35" s="5"/>
      <c r="I35" s="7" t="n">
        <f aca="false">COUNTIF($H$5:H35,"WFH")</f>
        <v>0</v>
      </c>
      <c r="J35" s="5"/>
    </row>
    <row r="36" customFormat="false" ht="21.75" hidden="false" customHeight="true" outlineLevel="0" collapsed="false">
      <c r="A36" s="8"/>
      <c r="B36" s="8"/>
      <c r="C36" s="9"/>
      <c r="D36" s="8"/>
      <c r="E36" s="8"/>
      <c r="F36" s="8"/>
      <c r="G36" s="8"/>
      <c r="H36" s="8"/>
      <c r="I36" s="10" t="n">
        <f aca="false">COUNTIF($H$5:H36,"WFH")</f>
        <v>0</v>
      </c>
      <c r="J36" s="8"/>
    </row>
    <row r="37" customFormat="false" ht="21.75" hidden="false" customHeight="true" outlineLevel="0" collapsed="false">
      <c r="A37" s="5"/>
      <c r="B37" s="5"/>
      <c r="C37" s="6"/>
      <c r="D37" s="5"/>
      <c r="E37" s="5"/>
      <c r="F37" s="5"/>
      <c r="G37" s="5"/>
      <c r="H37" s="5"/>
      <c r="I37" s="7" t="n">
        <f aca="false">COUNTIF($H$5:H37,"WFH")</f>
        <v>0</v>
      </c>
      <c r="J37" s="5"/>
    </row>
    <row r="38" customFormat="false" ht="21.75" hidden="false" customHeight="true" outlineLevel="0" collapsed="false">
      <c r="A38" s="8"/>
      <c r="B38" s="8"/>
      <c r="C38" s="9"/>
      <c r="D38" s="8"/>
      <c r="E38" s="8"/>
      <c r="F38" s="8"/>
      <c r="G38" s="8"/>
      <c r="H38" s="8"/>
      <c r="I38" s="10" t="n">
        <f aca="false">COUNTIF($H$5:H38,"WFH")</f>
        <v>0</v>
      </c>
      <c r="J38" s="8"/>
    </row>
    <row r="39" customFormat="false" ht="21.75" hidden="false" customHeight="true" outlineLevel="0" collapsed="false">
      <c r="A39" s="5"/>
      <c r="B39" s="5"/>
      <c r="C39" s="6"/>
      <c r="D39" s="5"/>
      <c r="E39" s="5"/>
      <c r="F39" s="5"/>
      <c r="G39" s="5"/>
      <c r="H39" s="5"/>
      <c r="I39" s="7" t="n">
        <f aca="false">COUNTIF($H$5:H39,"WFH")</f>
        <v>0</v>
      </c>
      <c r="J39" s="5"/>
    </row>
    <row r="40" customFormat="false" ht="21.75" hidden="false" customHeight="true" outlineLevel="0" collapsed="false">
      <c r="A40" s="8"/>
      <c r="B40" s="8"/>
      <c r="C40" s="9"/>
      <c r="D40" s="8"/>
      <c r="E40" s="8"/>
      <c r="F40" s="8"/>
      <c r="G40" s="8"/>
      <c r="H40" s="8"/>
      <c r="I40" s="10" t="n">
        <f aca="false">COUNTIF($H$5:H40,"WFH")</f>
        <v>0</v>
      </c>
      <c r="J40" s="8"/>
    </row>
    <row r="41" customFormat="false" ht="21.75" hidden="false" customHeight="true" outlineLevel="0" collapsed="false">
      <c r="A41" s="5"/>
      <c r="B41" s="5"/>
      <c r="C41" s="6"/>
      <c r="D41" s="5"/>
      <c r="E41" s="5"/>
      <c r="F41" s="5"/>
      <c r="G41" s="5"/>
      <c r="H41" s="5"/>
      <c r="I41" s="7" t="n">
        <f aca="false">COUNTIF($H$5:H41,"WFH")</f>
        <v>0</v>
      </c>
      <c r="J41" s="5"/>
    </row>
    <row r="42" customFormat="false" ht="21.75" hidden="false" customHeight="true" outlineLevel="0" collapsed="false">
      <c r="A42" s="8"/>
      <c r="B42" s="8"/>
      <c r="C42" s="9"/>
      <c r="D42" s="8"/>
      <c r="E42" s="8"/>
      <c r="F42" s="8"/>
      <c r="G42" s="8"/>
      <c r="H42" s="8"/>
      <c r="I42" s="10" t="n">
        <f aca="false">COUNTIF($H$5:H42,"WFH")</f>
        <v>0</v>
      </c>
      <c r="J42" s="8"/>
    </row>
    <row r="43" customFormat="false" ht="21.75" hidden="false" customHeight="true" outlineLevel="0" collapsed="false">
      <c r="A43" s="5"/>
      <c r="B43" s="5"/>
      <c r="C43" s="6"/>
      <c r="D43" s="5"/>
      <c r="E43" s="5"/>
      <c r="F43" s="5"/>
      <c r="G43" s="5"/>
      <c r="H43" s="5"/>
      <c r="I43" s="7" t="n">
        <f aca="false">COUNTIF($H$5:H43,"WFH")</f>
        <v>0</v>
      </c>
      <c r="J43" s="5"/>
    </row>
    <row r="44" customFormat="false" ht="21.75" hidden="false" customHeight="true" outlineLevel="0" collapsed="false">
      <c r="A44" s="8"/>
      <c r="B44" s="8"/>
      <c r="C44" s="9"/>
      <c r="D44" s="8"/>
      <c r="E44" s="8"/>
      <c r="F44" s="8"/>
      <c r="G44" s="8"/>
      <c r="H44" s="8"/>
      <c r="I44" s="10" t="n">
        <f aca="false">COUNTIF($H$5:H44,"WFH")</f>
        <v>0</v>
      </c>
      <c r="J44" s="8"/>
    </row>
    <row r="45" customFormat="false" ht="21.75" hidden="false" customHeight="true" outlineLevel="0" collapsed="false">
      <c r="A45" s="5"/>
      <c r="B45" s="5"/>
      <c r="C45" s="6"/>
      <c r="D45" s="5"/>
      <c r="E45" s="5"/>
      <c r="F45" s="5"/>
      <c r="G45" s="5"/>
      <c r="H45" s="5"/>
      <c r="I45" s="7" t="n">
        <f aca="false">COUNTIF($H$5:H45,"WFH")</f>
        <v>0</v>
      </c>
      <c r="J45" s="5"/>
    </row>
    <row r="46" customFormat="false" ht="21.75" hidden="false" customHeight="true" outlineLevel="0" collapsed="false">
      <c r="A46" s="8"/>
      <c r="B46" s="8"/>
      <c r="C46" s="9"/>
      <c r="D46" s="8"/>
      <c r="E46" s="8"/>
      <c r="F46" s="8"/>
      <c r="G46" s="8"/>
      <c r="H46" s="8"/>
      <c r="I46" s="10" t="n">
        <f aca="false">COUNTIF($H$5:H46,"WFH")</f>
        <v>0</v>
      </c>
      <c r="J46" s="8"/>
    </row>
    <row r="47" customFormat="false" ht="21.75" hidden="false" customHeight="true" outlineLevel="0" collapsed="false">
      <c r="A47" s="5"/>
      <c r="B47" s="5"/>
      <c r="C47" s="6"/>
      <c r="D47" s="5"/>
      <c r="E47" s="5"/>
      <c r="F47" s="5"/>
      <c r="G47" s="5"/>
      <c r="H47" s="5"/>
      <c r="I47" s="7" t="n">
        <f aca="false">COUNTIF($H$5:H47,"WFH")</f>
        <v>0</v>
      </c>
      <c r="J47" s="5"/>
    </row>
    <row r="48" customFormat="false" ht="21.75" hidden="false" customHeight="true" outlineLevel="0" collapsed="false">
      <c r="A48" s="8"/>
      <c r="B48" s="8"/>
      <c r="C48" s="9"/>
      <c r="D48" s="8"/>
      <c r="E48" s="8"/>
      <c r="F48" s="8"/>
      <c r="G48" s="8"/>
      <c r="H48" s="8"/>
      <c r="I48" s="10" t="n">
        <f aca="false">COUNTIF($H$5:H48,"WFH")</f>
        <v>0</v>
      </c>
      <c r="J48" s="8"/>
    </row>
    <row r="49" customFormat="false" ht="21.75" hidden="false" customHeight="true" outlineLevel="0" collapsed="false">
      <c r="A49" s="5"/>
      <c r="B49" s="5"/>
      <c r="C49" s="6"/>
      <c r="D49" s="5"/>
      <c r="E49" s="5"/>
      <c r="F49" s="5"/>
      <c r="G49" s="5"/>
      <c r="H49" s="5"/>
      <c r="I49" s="7" t="n">
        <f aca="false">COUNTIF($H$5:H49,"WFH")</f>
        <v>0</v>
      </c>
      <c r="J49" s="5"/>
    </row>
    <row r="50" customFormat="false" ht="21.75" hidden="false" customHeight="true" outlineLevel="0" collapsed="false">
      <c r="A50" s="8"/>
      <c r="B50" s="8"/>
      <c r="C50" s="9"/>
      <c r="D50" s="8"/>
      <c r="E50" s="8"/>
      <c r="F50" s="8"/>
      <c r="G50" s="8"/>
      <c r="H50" s="8"/>
      <c r="I50" s="10" t="n">
        <f aca="false">COUNTIF($H$5:H50,"WFH")</f>
        <v>0</v>
      </c>
      <c r="J50" s="8"/>
    </row>
    <row r="51" customFormat="false" ht="21.75" hidden="false" customHeight="true" outlineLevel="0" collapsed="false">
      <c r="A51" s="5"/>
      <c r="B51" s="5"/>
      <c r="C51" s="6"/>
      <c r="D51" s="5"/>
      <c r="E51" s="5"/>
      <c r="F51" s="5"/>
      <c r="G51" s="5"/>
      <c r="H51" s="5"/>
      <c r="I51" s="7" t="n">
        <f aca="false">COUNTIF($H$5:H51,"WFH")</f>
        <v>0</v>
      </c>
      <c r="J51" s="5"/>
    </row>
    <row r="52" customFormat="false" ht="21.75" hidden="false" customHeight="true" outlineLevel="0" collapsed="false">
      <c r="A52" s="8"/>
      <c r="B52" s="8"/>
      <c r="C52" s="9"/>
      <c r="D52" s="8"/>
      <c r="E52" s="8"/>
      <c r="F52" s="8"/>
      <c r="G52" s="8"/>
      <c r="H52" s="8"/>
      <c r="I52" s="10" t="n">
        <f aca="false">COUNTIF($H$5:H52,"WFH")</f>
        <v>0</v>
      </c>
      <c r="J52" s="8"/>
    </row>
    <row r="53" customFormat="false" ht="21.75" hidden="false" customHeight="true" outlineLevel="0" collapsed="false">
      <c r="A53" s="5"/>
      <c r="B53" s="5"/>
      <c r="C53" s="6"/>
      <c r="D53" s="5"/>
      <c r="E53" s="5"/>
      <c r="F53" s="5"/>
      <c r="G53" s="5"/>
      <c r="H53" s="5"/>
      <c r="I53" s="7" t="n">
        <f aca="false">COUNTIF($H$5:H53,"WFH")</f>
        <v>0</v>
      </c>
      <c r="J53" s="5"/>
    </row>
    <row r="54" customFormat="false" ht="21.75" hidden="false" customHeight="true" outlineLevel="0" collapsed="false">
      <c r="A54" s="8"/>
      <c r="B54" s="8"/>
      <c r="C54" s="9"/>
      <c r="D54" s="8"/>
      <c r="E54" s="8"/>
      <c r="F54" s="8"/>
      <c r="G54" s="8"/>
      <c r="H54" s="8"/>
      <c r="I54" s="10" t="n">
        <f aca="false">COUNTIF($H$5:H54,"WFH")</f>
        <v>0</v>
      </c>
      <c r="J54" s="8"/>
    </row>
    <row r="55" customFormat="false" ht="21.75" hidden="false" customHeight="true" outlineLevel="0" collapsed="false">
      <c r="A55" s="5"/>
      <c r="B55" s="5"/>
      <c r="C55" s="6"/>
      <c r="D55" s="5"/>
      <c r="E55" s="5"/>
      <c r="F55" s="5"/>
      <c r="G55" s="5"/>
      <c r="H55" s="5"/>
      <c r="I55" s="7" t="n">
        <f aca="false">COUNTIF($H$5:H55,"WFH")</f>
        <v>0</v>
      </c>
      <c r="J55" s="5"/>
    </row>
    <row r="56" customFormat="false" ht="21.75" hidden="false" customHeight="true" outlineLevel="0" collapsed="false">
      <c r="A56" s="8"/>
      <c r="B56" s="8"/>
      <c r="C56" s="9"/>
      <c r="D56" s="8"/>
      <c r="E56" s="8"/>
      <c r="F56" s="8"/>
      <c r="G56" s="8"/>
      <c r="H56" s="8"/>
      <c r="I56" s="10" t="n">
        <f aca="false">COUNTIF($H$5:H56,"WFH")</f>
        <v>0</v>
      </c>
      <c r="J56" s="8"/>
    </row>
    <row r="57" customFormat="false" ht="21.75" hidden="false" customHeight="true" outlineLevel="0" collapsed="false">
      <c r="A57" s="5"/>
      <c r="B57" s="5"/>
      <c r="C57" s="6"/>
      <c r="D57" s="5"/>
      <c r="E57" s="5"/>
      <c r="F57" s="5"/>
      <c r="G57" s="5"/>
      <c r="H57" s="5"/>
      <c r="I57" s="7" t="n">
        <f aca="false">COUNTIF($H$5:H57,"WFH")</f>
        <v>0</v>
      </c>
      <c r="J57" s="5"/>
    </row>
    <row r="58" customFormat="false" ht="21.75" hidden="false" customHeight="true" outlineLevel="0" collapsed="false">
      <c r="A58" s="8"/>
      <c r="B58" s="8"/>
      <c r="C58" s="9"/>
      <c r="D58" s="8"/>
      <c r="E58" s="8"/>
      <c r="F58" s="8"/>
      <c r="G58" s="8"/>
      <c r="H58" s="8"/>
      <c r="I58" s="10" t="n">
        <f aca="false">COUNTIF($H$5:H58,"WFH")</f>
        <v>0</v>
      </c>
      <c r="J58" s="8"/>
    </row>
    <row r="59" customFormat="false" ht="21.75" hidden="false" customHeight="true" outlineLevel="0" collapsed="false">
      <c r="A59" s="5"/>
      <c r="B59" s="5"/>
      <c r="C59" s="6"/>
      <c r="D59" s="5"/>
      <c r="E59" s="5"/>
      <c r="F59" s="5"/>
      <c r="G59" s="5"/>
      <c r="H59" s="5"/>
      <c r="I59" s="7" t="n">
        <f aca="false">COUNTIF($H$5:H59,"WFH")</f>
        <v>0</v>
      </c>
      <c r="J59" s="5"/>
    </row>
    <row r="60" customFormat="false" ht="21.75" hidden="false" customHeight="true" outlineLevel="0" collapsed="false">
      <c r="A60" s="8"/>
      <c r="B60" s="8"/>
      <c r="C60" s="9"/>
      <c r="D60" s="8"/>
      <c r="E60" s="8"/>
      <c r="F60" s="8"/>
      <c r="G60" s="8"/>
      <c r="H60" s="8"/>
      <c r="I60" s="10" t="n">
        <f aca="false">COUNTIF($H$5:H60,"WFH")</f>
        <v>0</v>
      </c>
      <c r="J60" s="8"/>
    </row>
    <row r="61" customFormat="false" ht="21.75" hidden="false" customHeight="true" outlineLevel="0" collapsed="false">
      <c r="A61" s="5"/>
      <c r="B61" s="5"/>
      <c r="C61" s="6"/>
      <c r="D61" s="5"/>
      <c r="E61" s="5"/>
      <c r="F61" s="5"/>
      <c r="G61" s="5"/>
      <c r="H61" s="5"/>
      <c r="I61" s="7" t="n">
        <f aca="false">COUNTIF($H$5:H61,"WFH")</f>
        <v>0</v>
      </c>
      <c r="J61" s="5"/>
    </row>
    <row r="62" customFormat="false" ht="21.75" hidden="false" customHeight="true" outlineLevel="0" collapsed="false">
      <c r="A62" s="8"/>
      <c r="B62" s="8"/>
      <c r="C62" s="9"/>
      <c r="D62" s="8"/>
      <c r="E62" s="8"/>
      <c r="F62" s="8"/>
      <c r="G62" s="8"/>
      <c r="H62" s="8"/>
      <c r="I62" s="10" t="n">
        <f aca="false">COUNTIF($H$5:H62,"WFH")</f>
        <v>0</v>
      </c>
      <c r="J62" s="8"/>
    </row>
    <row r="63" customFormat="false" ht="21.75" hidden="false" customHeight="true" outlineLevel="0" collapsed="false">
      <c r="A63" s="5"/>
      <c r="B63" s="5"/>
      <c r="C63" s="6"/>
      <c r="D63" s="5"/>
      <c r="E63" s="5"/>
      <c r="F63" s="5"/>
      <c r="G63" s="5"/>
      <c r="H63" s="5"/>
      <c r="I63" s="7" t="n">
        <f aca="false">COUNTIF($H$5:H63,"WFH")</f>
        <v>0</v>
      </c>
      <c r="J63" s="5"/>
    </row>
    <row r="64" customFormat="false" ht="21.75" hidden="false" customHeight="true" outlineLevel="0" collapsed="false">
      <c r="A64" s="8"/>
      <c r="B64" s="8"/>
      <c r="C64" s="9"/>
      <c r="D64" s="8"/>
      <c r="E64" s="8"/>
      <c r="F64" s="8"/>
      <c r="G64" s="8"/>
      <c r="H64" s="8"/>
      <c r="I64" s="10" t="n">
        <f aca="false">COUNTIF($H$5:H64,"WFH")</f>
        <v>0</v>
      </c>
      <c r="J64" s="8"/>
    </row>
    <row r="65" customFormat="false" ht="21.75" hidden="false" customHeight="true" outlineLevel="0" collapsed="false">
      <c r="A65" s="5"/>
      <c r="B65" s="5"/>
      <c r="C65" s="6"/>
      <c r="D65" s="5"/>
      <c r="E65" s="5"/>
      <c r="F65" s="5"/>
      <c r="G65" s="5"/>
      <c r="H65" s="5"/>
      <c r="I65" s="7" t="n">
        <f aca="false">COUNTIF($H$5:H65,"WFH")</f>
        <v>0</v>
      </c>
      <c r="J65" s="5"/>
    </row>
    <row r="66" customFormat="false" ht="21.75" hidden="false" customHeight="true" outlineLevel="0" collapsed="false">
      <c r="A66" s="8"/>
      <c r="B66" s="8"/>
      <c r="C66" s="9"/>
      <c r="D66" s="8"/>
      <c r="E66" s="8"/>
      <c r="F66" s="8"/>
      <c r="G66" s="8"/>
      <c r="H66" s="8"/>
      <c r="I66" s="10" t="n">
        <f aca="false">COUNTIF($H$5:H66,"WFH")</f>
        <v>0</v>
      </c>
      <c r="J66" s="8"/>
    </row>
    <row r="67" customFormat="false" ht="21.75" hidden="false" customHeight="true" outlineLevel="0" collapsed="false">
      <c r="A67" s="5"/>
      <c r="B67" s="5"/>
      <c r="C67" s="6"/>
      <c r="D67" s="5"/>
      <c r="E67" s="5"/>
      <c r="F67" s="5"/>
      <c r="G67" s="5"/>
      <c r="H67" s="5"/>
      <c r="I67" s="7" t="n">
        <f aca="false">COUNTIF($H$5:H67,"WFH")</f>
        <v>0</v>
      </c>
      <c r="J67" s="5"/>
    </row>
    <row r="68" customFormat="false" ht="21.75" hidden="false" customHeight="true" outlineLevel="0" collapsed="false">
      <c r="A68" s="8"/>
      <c r="B68" s="8"/>
      <c r="C68" s="9"/>
      <c r="D68" s="8"/>
      <c r="E68" s="8"/>
      <c r="F68" s="8"/>
      <c r="G68" s="8"/>
      <c r="H68" s="8"/>
      <c r="I68" s="10" t="n">
        <f aca="false">COUNTIF($H$5:H68,"WFH")</f>
        <v>0</v>
      </c>
      <c r="J68" s="8"/>
    </row>
    <row r="69" customFormat="false" ht="21.75" hidden="false" customHeight="true" outlineLevel="0" collapsed="false">
      <c r="A69" s="5"/>
      <c r="B69" s="5"/>
      <c r="C69" s="6"/>
      <c r="D69" s="5"/>
      <c r="E69" s="5"/>
      <c r="F69" s="5"/>
      <c r="G69" s="5"/>
      <c r="H69" s="5"/>
      <c r="I69" s="7" t="n">
        <f aca="false">COUNTIF($H$5:H69,"WFH")</f>
        <v>0</v>
      </c>
      <c r="J69" s="5"/>
    </row>
    <row r="70" customFormat="false" ht="21.75" hidden="false" customHeight="true" outlineLevel="0" collapsed="false">
      <c r="A70" s="8"/>
      <c r="B70" s="8"/>
      <c r="C70" s="9"/>
      <c r="D70" s="8"/>
      <c r="E70" s="8"/>
      <c r="F70" s="8"/>
      <c r="G70" s="8"/>
      <c r="H70" s="8"/>
      <c r="I70" s="10" t="n">
        <f aca="false">COUNTIF($H$5:H70,"WFH")</f>
        <v>0</v>
      </c>
      <c r="J70" s="8"/>
    </row>
    <row r="71" customFormat="false" ht="21.75" hidden="false" customHeight="true" outlineLevel="0" collapsed="false">
      <c r="A71" s="5"/>
      <c r="B71" s="5"/>
      <c r="C71" s="6"/>
      <c r="D71" s="5"/>
      <c r="E71" s="5"/>
      <c r="F71" s="5"/>
      <c r="G71" s="5"/>
      <c r="H71" s="5"/>
      <c r="I71" s="7" t="n">
        <f aca="false">COUNTIF($H$5:H71,"WFH")</f>
        <v>0</v>
      </c>
      <c r="J71" s="5"/>
    </row>
    <row r="72" customFormat="false" ht="21.75" hidden="false" customHeight="true" outlineLevel="0" collapsed="false">
      <c r="A72" s="8"/>
      <c r="B72" s="8"/>
      <c r="C72" s="9"/>
      <c r="D72" s="8"/>
      <c r="E72" s="8"/>
      <c r="F72" s="8"/>
      <c r="G72" s="8"/>
      <c r="H72" s="8"/>
      <c r="I72" s="10" t="n">
        <f aca="false">COUNTIF($H$5:H72,"WFH")</f>
        <v>0</v>
      </c>
      <c r="J72" s="8"/>
    </row>
    <row r="73" customFormat="false" ht="21.75" hidden="false" customHeight="true" outlineLevel="0" collapsed="false">
      <c r="A73" s="5"/>
      <c r="B73" s="5"/>
      <c r="C73" s="6"/>
      <c r="D73" s="5"/>
      <c r="E73" s="5"/>
      <c r="F73" s="5"/>
      <c r="G73" s="5"/>
      <c r="H73" s="5"/>
      <c r="I73" s="7" t="n">
        <f aca="false">COUNTIF($H$5:H73,"WFH")</f>
        <v>0</v>
      </c>
      <c r="J73" s="5"/>
    </row>
    <row r="74" customFormat="false" ht="21.75" hidden="false" customHeight="true" outlineLevel="0" collapsed="false">
      <c r="A74" s="8"/>
      <c r="B74" s="8"/>
      <c r="C74" s="9"/>
      <c r="D74" s="8"/>
      <c r="E74" s="8"/>
      <c r="F74" s="8"/>
      <c r="G74" s="8"/>
      <c r="H74" s="8"/>
      <c r="I74" s="10" t="n">
        <f aca="false">COUNTIF($H$5:H74,"WFH")</f>
        <v>0</v>
      </c>
      <c r="J74" s="8"/>
    </row>
    <row r="75" customFormat="false" ht="21.75" hidden="false" customHeight="true" outlineLevel="0" collapsed="false">
      <c r="A75" s="5"/>
      <c r="B75" s="5"/>
      <c r="C75" s="6"/>
      <c r="D75" s="5"/>
      <c r="E75" s="5"/>
      <c r="F75" s="5"/>
      <c r="G75" s="5"/>
      <c r="H75" s="5"/>
      <c r="I75" s="7" t="n">
        <f aca="false">COUNTIF($H$5:H75,"WFH")</f>
        <v>0</v>
      </c>
      <c r="J75" s="5"/>
    </row>
    <row r="76" customFormat="false" ht="21.75" hidden="false" customHeight="true" outlineLevel="0" collapsed="false">
      <c r="A76" s="8"/>
      <c r="B76" s="8"/>
      <c r="C76" s="9"/>
      <c r="D76" s="8"/>
      <c r="E76" s="8"/>
      <c r="F76" s="8"/>
      <c r="G76" s="8"/>
      <c r="H76" s="8"/>
      <c r="I76" s="10" t="n">
        <f aca="false">COUNTIF($H$5:H76,"WFH")</f>
        <v>0</v>
      </c>
      <c r="J76" s="8"/>
    </row>
    <row r="77" customFormat="false" ht="21.75" hidden="false" customHeight="true" outlineLevel="0" collapsed="false">
      <c r="A77" s="5"/>
      <c r="B77" s="5"/>
      <c r="C77" s="6"/>
      <c r="D77" s="5"/>
      <c r="E77" s="5"/>
      <c r="F77" s="5"/>
      <c r="G77" s="5"/>
      <c r="H77" s="5"/>
      <c r="I77" s="7" t="n">
        <f aca="false">COUNTIF($H$5:H77,"WFH")</f>
        <v>0</v>
      </c>
      <c r="J77" s="5"/>
    </row>
    <row r="78" customFormat="false" ht="21.75" hidden="false" customHeight="true" outlineLevel="0" collapsed="false">
      <c r="A78" s="8"/>
      <c r="B78" s="8"/>
      <c r="C78" s="9"/>
      <c r="D78" s="8"/>
      <c r="E78" s="8"/>
      <c r="F78" s="8"/>
      <c r="G78" s="8"/>
      <c r="H78" s="8"/>
      <c r="I78" s="10" t="n">
        <f aca="false">COUNTIF($H$5:H78,"WFH")</f>
        <v>0</v>
      </c>
      <c r="J78" s="8"/>
    </row>
    <row r="79" customFormat="false" ht="21.75" hidden="false" customHeight="true" outlineLevel="0" collapsed="false">
      <c r="A79" s="5"/>
      <c r="B79" s="5"/>
      <c r="C79" s="6"/>
      <c r="D79" s="5"/>
      <c r="E79" s="5"/>
      <c r="F79" s="5"/>
      <c r="G79" s="5"/>
      <c r="H79" s="5"/>
      <c r="I79" s="7" t="n">
        <f aca="false">COUNTIF($H$5:H79,"WFH")</f>
        <v>0</v>
      </c>
      <c r="J79" s="5"/>
    </row>
    <row r="80" customFormat="false" ht="21.75" hidden="false" customHeight="true" outlineLevel="0" collapsed="false">
      <c r="A80" s="8"/>
      <c r="B80" s="8"/>
      <c r="C80" s="9"/>
      <c r="D80" s="8"/>
      <c r="E80" s="8"/>
      <c r="F80" s="8"/>
      <c r="G80" s="8"/>
      <c r="H80" s="8"/>
      <c r="I80" s="10" t="n">
        <f aca="false">COUNTIF($H$5:H80,"WFH")</f>
        <v>0</v>
      </c>
      <c r="J80" s="8"/>
    </row>
    <row r="81" customFormat="false" ht="21.75" hidden="false" customHeight="true" outlineLevel="0" collapsed="false">
      <c r="A81" s="5"/>
      <c r="B81" s="5"/>
      <c r="C81" s="6"/>
      <c r="D81" s="5"/>
      <c r="E81" s="5"/>
      <c r="F81" s="5"/>
      <c r="G81" s="5"/>
      <c r="H81" s="5"/>
      <c r="I81" s="7" t="n">
        <f aca="false">COUNTIF($H$5:H81,"WFH")</f>
        <v>0</v>
      </c>
      <c r="J81" s="5"/>
    </row>
    <row r="82" customFormat="false" ht="21.75" hidden="false" customHeight="true" outlineLevel="0" collapsed="false">
      <c r="A82" s="8"/>
      <c r="B82" s="8"/>
      <c r="C82" s="9"/>
      <c r="D82" s="8"/>
      <c r="E82" s="8"/>
      <c r="F82" s="8"/>
      <c r="G82" s="8"/>
      <c r="H82" s="8"/>
      <c r="I82" s="10" t="n">
        <f aca="false">COUNTIF($H$5:H82,"WFH")</f>
        <v>0</v>
      </c>
      <c r="J82" s="8"/>
    </row>
    <row r="83" customFormat="false" ht="21.75" hidden="false" customHeight="true" outlineLevel="0" collapsed="false">
      <c r="A83" s="5"/>
      <c r="B83" s="5"/>
      <c r="C83" s="6"/>
      <c r="D83" s="5"/>
      <c r="E83" s="5"/>
      <c r="F83" s="5"/>
      <c r="G83" s="5"/>
      <c r="H83" s="5"/>
      <c r="I83" s="7" t="n">
        <f aca="false">COUNTIF($H$5:H83,"WFH")</f>
        <v>0</v>
      </c>
      <c r="J83" s="5"/>
    </row>
    <row r="84" customFormat="false" ht="21.75" hidden="false" customHeight="true" outlineLevel="0" collapsed="false">
      <c r="A84" s="8"/>
      <c r="B84" s="8"/>
      <c r="C84" s="9"/>
      <c r="D84" s="8"/>
      <c r="E84" s="8"/>
      <c r="F84" s="8"/>
      <c r="G84" s="8"/>
      <c r="H84" s="8"/>
      <c r="I84" s="10" t="n">
        <f aca="false">COUNTIF($H$5:H84,"WFH")</f>
        <v>0</v>
      </c>
      <c r="J84" s="8"/>
    </row>
    <row r="85" customFormat="false" ht="21.75" hidden="false" customHeight="true" outlineLevel="0" collapsed="false">
      <c r="A85" s="5"/>
      <c r="B85" s="5"/>
      <c r="C85" s="6"/>
      <c r="D85" s="5"/>
      <c r="E85" s="5"/>
      <c r="F85" s="5"/>
      <c r="G85" s="5"/>
      <c r="H85" s="5"/>
      <c r="I85" s="7" t="n">
        <f aca="false">COUNTIF($H$5:H85,"WFH")</f>
        <v>0</v>
      </c>
      <c r="J85" s="5"/>
    </row>
    <row r="86" customFormat="false" ht="21.75" hidden="false" customHeight="true" outlineLevel="0" collapsed="false">
      <c r="A86" s="8"/>
      <c r="B86" s="8"/>
      <c r="C86" s="9"/>
      <c r="D86" s="8"/>
      <c r="E86" s="8"/>
      <c r="F86" s="8"/>
      <c r="G86" s="8"/>
      <c r="H86" s="8"/>
      <c r="I86" s="10" t="n">
        <f aca="false">COUNTIF($H$5:H86,"WFH")</f>
        <v>0</v>
      </c>
      <c r="J86" s="8"/>
    </row>
    <row r="87" customFormat="false" ht="21.75" hidden="false" customHeight="true" outlineLevel="0" collapsed="false">
      <c r="A87" s="5"/>
      <c r="B87" s="5"/>
      <c r="C87" s="6"/>
      <c r="D87" s="5"/>
      <c r="E87" s="5"/>
      <c r="F87" s="5"/>
      <c r="G87" s="5"/>
      <c r="H87" s="5"/>
      <c r="I87" s="7" t="n">
        <f aca="false">COUNTIF($H$5:H87,"WFH")</f>
        <v>0</v>
      </c>
      <c r="J87" s="5"/>
    </row>
    <row r="88" customFormat="false" ht="21.75" hidden="false" customHeight="true" outlineLevel="0" collapsed="false">
      <c r="A88" s="8"/>
      <c r="B88" s="8"/>
      <c r="C88" s="9"/>
      <c r="D88" s="8"/>
      <c r="E88" s="8"/>
      <c r="F88" s="8"/>
      <c r="G88" s="8"/>
      <c r="H88" s="8"/>
      <c r="I88" s="10" t="n">
        <f aca="false">COUNTIF($H$5:H88,"WFH")</f>
        <v>0</v>
      </c>
      <c r="J88" s="8"/>
    </row>
    <row r="89" customFormat="false" ht="21.75" hidden="false" customHeight="true" outlineLevel="0" collapsed="false">
      <c r="A89" s="5"/>
      <c r="B89" s="5"/>
      <c r="C89" s="6"/>
      <c r="D89" s="5"/>
      <c r="E89" s="5"/>
      <c r="F89" s="5"/>
      <c r="G89" s="5"/>
      <c r="H89" s="5"/>
      <c r="I89" s="7" t="n">
        <f aca="false">COUNTIF($H$5:H89,"WFH")</f>
        <v>0</v>
      </c>
      <c r="J89" s="5"/>
    </row>
    <row r="90" customFormat="false" ht="21.75" hidden="false" customHeight="true" outlineLevel="0" collapsed="false">
      <c r="A90" s="8"/>
      <c r="B90" s="8"/>
      <c r="C90" s="9"/>
      <c r="D90" s="8"/>
      <c r="E90" s="8"/>
      <c r="F90" s="8"/>
      <c r="G90" s="8"/>
      <c r="H90" s="8"/>
      <c r="I90" s="10" t="n">
        <f aca="false">COUNTIF($H$5:H90,"WFH")</f>
        <v>0</v>
      </c>
      <c r="J90" s="8"/>
    </row>
    <row r="91" customFormat="false" ht="21.75" hidden="false" customHeight="true" outlineLevel="0" collapsed="false">
      <c r="A91" s="5"/>
      <c r="B91" s="5"/>
      <c r="C91" s="6"/>
      <c r="D91" s="5"/>
      <c r="E91" s="5"/>
      <c r="F91" s="5"/>
      <c r="G91" s="5"/>
      <c r="H91" s="5"/>
      <c r="I91" s="7" t="n">
        <f aca="false">COUNTIF($H$5:H91,"WFH")</f>
        <v>0</v>
      </c>
      <c r="J91" s="5"/>
    </row>
    <row r="92" customFormat="false" ht="21.75" hidden="false" customHeight="true" outlineLevel="0" collapsed="false">
      <c r="A92" s="8"/>
      <c r="B92" s="8"/>
      <c r="C92" s="9"/>
      <c r="D92" s="8"/>
      <c r="E92" s="8"/>
      <c r="F92" s="8"/>
      <c r="G92" s="8"/>
      <c r="H92" s="8"/>
      <c r="I92" s="10" t="n">
        <f aca="false">COUNTIF($H$5:H92,"WFH")</f>
        <v>0</v>
      </c>
      <c r="J92" s="8"/>
    </row>
    <row r="93" customFormat="false" ht="21.75" hidden="false" customHeight="true" outlineLevel="0" collapsed="false">
      <c r="A93" s="5"/>
      <c r="B93" s="5"/>
      <c r="C93" s="6"/>
      <c r="D93" s="5"/>
      <c r="E93" s="5"/>
      <c r="F93" s="5"/>
      <c r="G93" s="5"/>
      <c r="H93" s="5"/>
      <c r="I93" s="7" t="n">
        <f aca="false">COUNTIF($H$5:H93,"WFH")</f>
        <v>0</v>
      </c>
      <c r="J93" s="5"/>
    </row>
    <row r="94" customFormat="false" ht="21.75" hidden="false" customHeight="true" outlineLevel="0" collapsed="false">
      <c r="A94" s="8"/>
      <c r="B94" s="8"/>
      <c r="C94" s="9"/>
      <c r="D94" s="8"/>
      <c r="E94" s="8"/>
      <c r="F94" s="8"/>
      <c r="G94" s="8"/>
      <c r="H94" s="8"/>
      <c r="I94" s="10" t="n">
        <f aca="false">COUNTIF($H$5:H94,"WFH")</f>
        <v>0</v>
      </c>
      <c r="J94" s="8"/>
    </row>
    <row r="95" customFormat="false" ht="21.75" hidden="false" customHeight="true" outlineLevel="0" collapsed="false">
      <c r="A95" s="5"/>
      <c r="B95" s="5"/>
      <c r="C95" s="6"/>
      <c r="D95" s="5"/>
      <c r="E95" s="5"/>
      <c r="F95" s="5"/>
      <c r="G95" s="5"/>
      <c r="H95" s="5"/>
      <c r="I95" s="7" t="n">
        <f aca="false">COUNTIF($H$5:H95,"WFH")</f>
        <v>0</v>
      </c>
      <c r="J95" s="5"/>
    </row>
    <row r="96" customFormat="false" ht="21.75" hidden="false" customHeight="true" outlineLevel="0" collapsed="false">
      <c r="A96" s="8"/>
      <c r="B96" s="8"/>
      <c r="C96" s="9"/>
      <c r="D96" s="8"/>
      <c r="E96" s="8"/>
      <c r="F96" s="8"/>
      <c r="G96" s="8"/>
      <c r="H96" s="8"/>
      <c r="I96" s="10" t="n">
        <f aca="false">COUNTIF($H$5:H96,"WFH")</f>
        <v>0</v>
      </c>
      <c r="J96" s="8"/>
    </row>
    <row r="97" customFormat="false" ht="21.75" hidden="false" customHeight="true" outlineLevel="0" collapsed="false">
      <c r="A97" s="5"/>
      <c r="B97" s="5"/>
      <c r="C97" s="6"/>
      <c r="D97" s="5"/>
      <c r="E97" s="5"/>
      <c r="F97" s="5"/>
      <c r="G97" s="5"/>
      <c r="H97" s="5"/>
      <c r="I97" s="7" t="n">
        <f aca="false">COUNTIF($H$5:H97,"WFH")</f>
        <v>0</v>
      </c>
      <c r="J97" s="5"/>
    </row>
    <row r="98" customFormat="false" ht="21.75" hidden="false" customHeight="true" outlineLevel="0" collapsed="false">
      <c r="A98" s="8"/>
      <c r="B98" s="8"/>
      <c r="C98" s="9"/>
      <c r="D98" s="8"/>
      <c r="E98" s="8"/>
      <c r="F98" s="8"/>
      <c r="G98" s="8"/>
      <c r="H98" s="8"/>
      <c r="I98" s="10" t="n">
        <f aca="false">COUNTIF($H$5:H98,"WFH")</f>
        <v>0</v>
      </c>
      <c r="J98" s="8"/>
    </row>
    <row r="99" customFormat="false" ht="21.75" hidden="false" customHeight="true" outlineLevel="0" collapsed="false">
      <c r="A99" s="5"/>
      <c r="B99" s="5"/>
      <c r="C99" s="6"/>
      <c r="D99" s="5"/>
      <c r="E99" s="5"/>
      <c r="F99" s="5"/>
      <c r="G99" s="5"/>
      <c r="H99" s="5"/>
      <c r="I99" s="7" t="n">
        <f aca="false">COUNTIF($H$5:H99,"WFH")</f>
        <v>0</v>
      </c>
      <c r="J99" s="5"/>
    </row>
    <row r="100" customFormat="false" ht="21.75" hidden="false" customHeight="true" outlineLevel="0" collapsed="false">
      <c r="A100" s="8"/>
      <c r="B100" s="8"/>
      <c r="C100" s="9"/>
      <c r="D100" s="8"/>
      <c r="E100" s="8"/>
      <c r="F100" s="8"/>
      <c r="G100" s="8"/>
      <c r="H100" s="8"/>
      <c r="I100" s="10" t="n">
        <f aca="false">COUNTIF($H$5:H100,"WFH")</f>
        <v>0</v>
      </c>
      <c r="J100" s="8"/>
    </row>
    <row r="101" customFormat="false" ht="21.75" hidden="false" customHeight="true" outlineLevel="0" collapsed="false">
      <c r="A101" s="5"/>
      <c r="B101" s="5"/>
      <c r="C101" s="6"/>
      <c r="D101" s="5"/>
      <c r="E101" s="5"/>
      <c r="F101" s="5"/>
      <c r="G101" s="5"/>
      <c r="H101" s="5"/>
      <c r="I101" s="7" t="n">
        <f aca="false">COUNTIF($H$5:H101,"WFH")</f>
        <v>0</v>
      </c>
      <c r="J101" s="5"/>
    </row>
    <row r="102" customFormat="false" ht="21.75" hidden="false" customHeight="true" outlineLevel="0" collapsed="false">
      <c r="A102" s="8"/>
      <c r="B102" s="8"/>
      <c r="C102" s="9"/>
      <c r="D102" s="8"/>
      <c r="E102" s="8"/>
      <c r="F102" s="8"/>
      <c r="G102" s="8"/>
      <c r="H102" s="8"/>
      <c r="I102" s="10" t="n">
        <f aca="false">COUNTIF($H$5:H102,"WFH")</f>
        <v>0</v>
      </c>
      <c r="J102" s="8"/>
    </row>
    <row r="103" customFormat="false" ht="21.75" hidden="false" customHeight="true" outlineLevel="0" collapsed="false">
      <c r="A103" s="5"/>
      <c r="B103" s="5"/>
      <c r="C103" s="6"/>
      <c r="D103" s="5"/>
      <c r="E103" s="5"/>
      <c r="F103" s="5"/>
      <c r="G103" s="5"/>
      <c r="H103" s="5"/>
      <c r="I103" s="7" t="n">
        <f aca="false">COUNTIF($H$5:H103,"WFH")</f>
        <v>0</v>
      </c>
      <c r="J103" s="5"/>
    </row>
    <row r="104" customFormat="false" ht="21.75" hidden="false" customHeight="true" outlineLevel="0" collapsed="false">
      <c r="A104" s="8"/>
      <c r="B104" s="8"/>
      <c r="C104" s="9"/>
      <c r="D104" s="8"/>
      <c r="E104" s="8"/>
      <c r="F104" s="8"/>
      <c r="G104" s="8"/>
      <c r="H104" s="8"/>
      <c r="I104" s="10" t="n">
        <f aca="false">COUNTIF($H$5:H104,"WFH")</f>
        <v>0</v>
      </c>
      <c r="J104" s="8"/>
    </row>
  </sheetData>
  <mergeCells count="3">
    <mergeCell ref="A1:J1"/>
    <mergeCell ref="A2:J2"/>
    <mergeCell ref="A3:J3"/>
  </mergeCells>
  <conditionalFormatting sqref="H5:H104">
    <cfRule type="expression" priority="2" aboveAverage="0" equalAverage="0" bottom="0" percent="0" rank="0" text="" dxfId="0">
      <formula>H5="WFH"</formula>
    </cfRule>
    <cfRule type="expression" priority="3" aboveAverage="0" equalAverage="0" bottom="0" percent="0" rank="0" text="" dxfId="1">
      <formula>H5="Office"</formula>
    </cfRule>
  </conditionalFormatting>
  <dataValidations count="1">
    <dataValidation allowBlank="true" errorStyle="stop" operator="between" prompt="Office ya WFH select karo" promptTitle="Work Mode" showDropDown="false" showErrorMessage="false" showInputMessage="false" sqref="H5:H104" type="list">
      <formula1>"Office,WFH"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32"/>
  </cols>
  <sheetData>
    <row r="1" customFormat="false" ht="37.5" hidden="false" customHeight="true" outlineLevel="0" collapsed="false">
      <c r="A1" s="11" t="s">
        <v>13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12" t="s">
        <v>14</v>
      </c>
      <c r="B2" s="12"/>
      <c r="C2" s="12"/>
      <c r="D2" s="12"/>
      <c r="E2" s="12"/>
      <c r="F2" s="12"/>
    </row>
    <row r="3" customFormat="false" ht="19.5" hidden="false" customHeight="true" outlineLevel="0" collapsed="false">
      <c r="A3" s="13" t="s">
        <v>15</v>
      </c>
      <c r="B3" s="13"/>
      <c r="C3" s="13"/>
      <c r="D3" s="13"/>
      <c r="E3" s="13"/>
      <c r="F3" s="13"/>
    </row>
    <row r="4" customFormat="false" ht="36" hidden="false" customHeight="true" outlineLevel="0" collapsed="false">
      <c r="A4" s="14" t="s">
        <v>16</v>
      </c>
      <c r="B4" s="14" t="s">
        <v>4</v>
      </c>
      <c r="C4" s="14" t="s">
        <v>17</v>
      </c>
      <c r="D4" s="14" t="s">
        <v>18</v>
      </c>
      <c r="E4" s="14" t="s">
        <v>19</v>
      </c>
      <c r="F4" s="14" t="s">
        <v>20</v>
      </c>
    </row>
    <row r="5" customFormat="false" ht="24" hidden="false" customHeight="true" outlineLevel="0" collapsed="false">
      <c r="A5" s="15"/>
      <c r="B5" s="15"/>
      <c r="C5" s="15"/>
      <c r="D5" s="16" t="str">
        <f aca="false">IF(C5="","— Rate karo",IF(C5&gt;=9,"🌟 Outstanding",IF(C5&gt;=7,"✅ Good",IF(C5&gt;=5,"🟡 Average",IF(C5&gt;=3,"🔴 Below Average","❌ Poor")))))</f>
        <v>— Rate karo</v>
      </c>
      <c r="E5" s="15"/>
      <c r="F5" s="15"/>
    </row>
    <row r="6" customFormat="false" ht="24" hidden="false" customHeight="true" outlineLevel="0" collapsed="false">
      <c r="A6" s="17"/>
      <c r="B6" s="17"/>
      <c r="C6" s="17"/>
      <c r="D6" s="18" t="str">
        <f aca="false">IF(C6="","— Rate karo",IF(C6&gt;=9,"🌟 Outstanding",IF(C6&gt;=7,"✅ Good",IF(C6&gt;=5,"🟡 Average",IF(C6&gt;=3,"🔴 Below Average","❌ Poor")))))</f>
        <v>— Rate karo</v>
      </c>
      <c r="E6" s="17"/>
      <c r="F6" s="17"/>
    </row>
    <row r="7" customFormat="false" ht="24" hidden="false" customHeight="true" outlineLevel="0" collapsed="false">
      <c r="A7" s="15"/>
      <c r="B7" s="15"/>
      <c r="C7" s="15"/>
      <c r="D7" s="16" t="str">
        <f aca="false">IF(C7="","— Rate karo",IF(C7&gt;=9,"🌟 Outstanding",IF(C7&gt;=7,"✅ Good",IF(C7&gt;=5,"🟡 Average",IF(C7&gt;=3,"🔴 Below Average","❌ Poor")))))</f>
        <v>— Rate karo</v>
      </c>
      <c r="E7" s="15"/>
      <c r="F7" s="15"/>
    </row>
    <row r="8" customFormat="false" ht="24" hidden="false" customHeight="true" outlineLevel="0" collapsed="false">
      <c r="A8" s="17"/>
      <c r="B8" s="17"/>
      <c r="C8" s="17"/>
      <c r="D8" s="18" t="str">
        <f aca="false">IF(C8="","— Rate karo",IF(C8&gt;=9,"🌟 Outstanding",IF(C8&gt;=7,"✅ Good",IF(C8&gt;=5,"🟡 Average",IF(C8&gt;=3,"🔴 Below Average","❌ Poor")))))</f>
        <v>— Rate karo</v>
      </c>
      <c r="E8" s="17"/>
      <c r="F8" s="17"/>
    </row>
    <row r="9" customFormat="false" ht="24" hidden="false" customHeight="true" outlineLevel="0" collapsed="false">
      <c r="A9" s="15"/>
      <c r="B9" s="15"/>
      <c r="C9" s="15"/>
      <c r="D9" s="16" t="str">
        <f aca="false">IF(C9="","— Rate karo",IF(C9&gt;=9,"🌟 Outstanding",IF(C9&gt;=7,"✅ Good",IF(C9&gt;=5,"🟡 Average",IF(C9&gt;=3,"🔴 Below Average","❌ Poor")))))</f>
        <v>— Rate karo</v>
      </c>
      <c r="E9" s="15"/>
      <c r="F9" s="15"/>
    </row>
    <row r="10" customFormat="false" ht="24" hidden="false" customHeight="true" outlineLevel="0" collapsed="false">
      <c r="A10" s="17"/>
      <c r="B10" s="17"/>
      <c r="C10" s="17"/>
      <c r="D10" s="18" t="str">
        <f aca="false">IF(C10="","— Rate karo",IF(C10&gt;=9,"🌟 Outstanding",IF(C10&gt;=7,"✅ Good",IF(C10&gt;=5,"🟡 Average",IF(C10&gt;=3,"🔴 Below Average","❌ Poor")))))</f>
        <v>— Rate karo</v>
      </c>
      <c r="E10" s="17"/>
      <c r="F10" s="17"/>
    </row>
    <row r="11" customFormat="false" ht="24" hidden="false" customHeight="true" outlineLevel="0" collapsed="false">
      <c r="A11" s="15"/>
      <c r="B11" s="15"/>
      <c r="C11" s="15"/>
      <c r="D11" s="16" t="str">
        <f aca="false">IF(C11="","— Rate karo",IF(C11&gt;=9,"🌟 Outstanding",IF(C11&gt;=7,"✅ Good",IF(C11&gt;=5,"🟡 Average",IF(C11&gt;=3,"🔴 Below Average","❌ Poor")))))</f>
        <v>— Rate karo</v>
      </c>
      <c r="E11" s="15"/>
      <c r="F11" s="15"/>
    </row>
    <row r="12" customFormat="false" ht="24" hidden="false" customHeight="true" outlineLevel="0" collapsed="false">
      <c r="A12" s="17"/>
      <c r="B12" s="17"/>
      <c r="C12" s="17"/>
      <c r="D12" s="18" t="str">
        <f aca="false">IF(C12="","— Rate karo",IF(C12&gt;=9,"🌟 Outstanding",IF(C12&gt;=7,"✅ Good",IF(C12&gt;=5,"🟡 Average",IF(C12&gt;=3,"🔴 Below Average","❌ Poor")))))</f>
        <v>— Rate karo</v>
      </c>
      <c r="E12" s="17"/>
      <c r="F12" s="17"/>
    </row>
    <row r="13" customFormat="false" ht="24" hidden="false" customHeight="true" outlineLevel="0" collapsed="false">
      <c r="A13" s="15"/>
      <c r="B13" s="15"/>
      <c r="C13" s="15"/>
      <c r="D13" s="16" t="str">
        <f aca="false">IF(C13="","— Rate karo",IF(C13&gt;=9,"🌟 Outstanding",IF(C13&gt;=7,"✅ Good",IF(C13&gt;=5,"🟡 Average",IF(C13&gt;=3,"🔴 Below Average","❌ Poor")))))</f>
        <v>— Rate karo</v>
      </c>
      <c r="E13" s="15"/>
      <c r="F13" s="15"/>
    </row>
    <row r="14" customFormat="false" ht="24" hidden="false" customHeight="true" outlineLevel="0" collapsed="false">
      <c r="A14" s="17"/>
      <c r="B14" s="17"/>
      <c r="C14" s="17"/>
      <c r="D14" s="18" t="str">
        <f aca="false">IF(C14="","— Rate karo",IF(C14&gt;=9,"🌟 Outstanding",IF(C14&gt;=7,"✅ Good",IF(C14&gt;=5,"🟡 Average",IF(C14&gt;=3,"🔴 Below Average","❌ Poor")))))</f>
        <v>— Rate karo</v>
      </c>
      <c r="E14" s="17"/>
      <c r="F14" s="17"/>
    </row>
    <row r="15" customFormat="false" ht="24" hidden="false" customHeight="true" outlineLevel="0" collapsed="false">
      <c r="A15" s="15"/>
      <c r="B15" s="15"/>
      <c r="C15" s="15"/>
      <c r="D15" s="16" t="str">
        <f aca="false">IF(C15="","— Rate karo",IF(C15&gt;=9,"🌟 Outstanding",IF(C15&gt;=7,"✅ Good",IF(C15&gt;=5,"🟡 Average",IF(C15&gt;=3,"🔴 Below Average","❌ Poor")))))</f>
        <v>— Rate karo</v>
      </c>
      <c r="E15" s="15"/>
      <c r="F15" s="15"/>
    </row>
    <row r="16" customFormat="false" ht="24" hidden="false" customHeight="true" outlineLevel="0" collapsed="false">
      <c r="A16" s="17"/>
      <c r="B16" s="17"/>
      <c r="C16" s="17"/>
      <c r="D16" s="18" t="str">
        <f aca="false">IF(C16="","— Rate karo",IF(C16&gt;=9,"🌟 Outstanding",IF(C16&gt;=7,"✅ Good",IF(C16&gt;=5,"🟡 Average",IF(C16&gt;=3,"🔴 Below Average","❌ Poor")))))</f>
        <v>— Rate karo</v>
      </c>
      <c r="E16" s="17"/>
      <c r="F16" s="17"/>
    </row>
    <row r="17" customFormat="false" ht="24" hidden="false" customHeight="true" outlineLevel="0" collapsed="false">
      <c r="A17" s="15"/>
      <c r="B17" s="15"/>
      <c r="C17" s="15"/>
      <c r="D17" s="16" t="str">
        <f aca="false">IF(C17="","— Rate karo",IF(C17&gt;=9,"🌟 Outstanding",IF(C17&gt;=7,"✅ Good",IF(C17&gt;=5,"🟡 Average",IF(C17&gt;=3,"🔴 Below Average","❌ Poor")))))</f>
        <v>— Rate karo</v>
      </c>
      <c r="E17" s="15"/>
      <c r="F17" s="15"/>
    </row>
    <row r="18" customFormat="false" ht="24" hidden="false" customHeight="true" outlineLevel="0" collapsed="false">
      <c r="A18" s="17"/>
      <c r="B18" s="17"/>
      <c r="C18" s="17"/>
      <c r="D18" s="18" t="str">
        <f aca="false">IF(C18="","— Rate karo",IF(C18&gt;=9,"🌟 Outstanding",IF(C18&gt;=7,"✅ Good",IF(C18&gt;=5,"🟡 Average",IF(C18&gt;=3,"🔴 Below Average","❌ Poor")))))</f>
        <v>— Rate karo</v>
      </c>
      <c r="E18" s="17"/>
      <c r="F18" s="17"/>
    </row>
    <row r="19" customFormat="false" ht="24" hidden="false" customHeight="true" outlineLevel="0" collapsed="false">
      <c r="A19" s="15"/>
      <c r="B19" s="15"/>
      <c r="C19" s="15"/>
      <c r="D19" s="16" t="str">
        <f aca="false">IF(C19="","— Rate karo",IF(C19&gt;=9,"🌟 Outstanding",IF(C19&gt;=7,"✅ Good",IF(C19&gt;=5,"🟡 Average",IF(C19&gt;=3,"🔴 Below Average","❌ Poor")))))</f>
        <v>— Rate karo</v>
      </c>
      <c r="E19" s="15"/>
      <c r="F19" s="15"/>
    </row>
    <row r="20" customFormat="false" ht="24" hidden="false" customHeight="true" outlineLevel="0" collapsed="false">
      <c r="A20" s="17"/>
      <c r="B20" s="17"/>
      <c r="C20" s="17"/>
      <c r="D20" s="18" t="str">
        <f aca="false">IF(C20="","— Rate karo",IF(C20&gt;=9,"🌟 Outstanding",IF(C20&gt;=7,"✅ Good",IF(C20&gt;=5,"🟡 Average",IF(C20&gt;=3,"🔴 Below Average","❌ Poor")))))</f>
        <v>— Rate karo</v>
      </c>
      <c r="E20" s="17"/>
      <c r="F20" s="17"/>
    </row>
    <row r="21" customFormat="false" ht="24" hidden="false" customHeight="true" outlineLevel="0" collapsed="false">
      <c r="A21" s="15"/>
      <c r="B21" s="15"/>
      <c r="C21" s="15"/>
      <c r="D21" s="16" t="str">
        <f aca="false">IF(C21="","— Rate karo",IF(C21&gt;=9,"🌟 Outstanding",IF(C21&gt;=7,"✅ Good",IF(C21&gt;=5,"🟡 Average",IF(C21&gt;=3,"🔴 Below Average","❌ Poor")))))</f>
        <v>— Rate karo</v>
      </c>
      <c r="E21" s="15"/>
      <c r="F21" s="15"/>
    </row>
    <row r="22" customFormat="false" ht="24" hidden="false" customHeight="true" outlineLevel="0" collapsed="false">
      <c r="A22" s="17"/>
      <c r="B22" s="17"/>
      <c r="C22" s="17"/>
      <c r="D22" s="18" t="str">
        <f aca="false">IF(C22="","— Rate karo",IF(C22&gt;=9,"🌟 Outstanding",IF(C22&gt;=7,"✅ Good",IF(C22&gt;=5,"🟡 Average",IF(C22&gt;=3,"🔴 Below Average","❌ Poor")))))</f>
        <v>— Rate karo</v>
      </c>
      <c r="E22" s="17"/>
      <c r="F22" s="17"/>
    </row>
    <row r="23" customFormat="false" ht="24" hidden="false" customHeight="true" outlineLevel="0" collapsed="false">
      <c r="A23" s="15"/>
      <c r="B23" s="15"/>
      <c r="C23" s="15"/>
      <c r="D23" s="16" t="str">
        <f aca="false">IF(C23="","— Rate karo",IF(C23&gt;=9,"🌟 Outstanding",IF(C23&gt;=7,"✅ Good",IF(C23&gt;=5,"🟡 Average",IF(C23&gt;=3,"🔴 Below Average","❌ Poor")))))</f>
        <v>— Rate karo</v>
      </c>
      <c r="E23" s="15"/>
      <c r="F23" s="15"/>
    </row>
    <row r="24" customFormat="false" ht="24" hidden="false" customHeight="true" outlineLevel="0" collapsed="false">
      <c r="A24" s="17"/>
      <c r="B24" s="17"/>
      <c r="C24" s="17"/>
      <c r="D24" s="18" t="str">
        <f aca="false">IF(C24="","— Rate karo",IF(C24&gt;=9,"🌟 Outstanding",IF(C24&gt;=7,"✅ Good",IF(C24&gt;=5,"🟡 Average",IF(C24&gt;=3,"🔴 Below Average","❌ Poor")))))</f>
        <v>— Rate karo</v>
      </c>
      <c r="E24" s="17"/>
      <c r="F24" s="17"/>
    </row>
    <row r="25" customFormat="false" ht="24" hidden="false" customHeight="true" outlineLevel="0" collapsed="false">
      <c r="A25" s="15"/>
      <c r="B25" s="15"/>
      <c r="C25" s="15"/>
      <c r="D25" s="16" t="str">
        <f aca="false">IF(C25="","— Rate karo",IF(C25&gt;=9,"🌟 Outstanding",IF(C25&gt;=7,"✅ Good",IF(C25&gt;=5,"🟡 Average",IF(C25&gt;=3,"🔴 Below Average","❌ Poor")))))</f>
        <v>— Rate karo</v>
      </c>
      <c r="E25" s="15"/>
      <c r="F25" s="15"/>
    </row>
    <row r="26" customFormat="false" ht="24" hidden="false" customHeight="true" outlineLevel="0" collapsed="false">
      <c r="A26" s="17"/>
      <c r="B26" s="17"/>
      <c r="C26" s="17"/>
      <c r="D26" s="18" t="str">
        <f aca="false">IF(C26="","— Rate karo",IF(C26&gt;=9,"🌟 Outstanding",IF(C26&gt;=7,"✅ Good",IF(C26&gt;=5,"🟡 Average",IF(C26&gt;=3,"🔴 Below Average","❌ Poor")))))</f>
        <v>— Rate karo</v>
      </c>
      <c r="E26" s="17"/>
      <c r="F26" s="17"/>
    </row>
    <row r="27" customFormat="false" ht="24" hidden="false" customHeight="true" outlineLevel="0" collapsed="false">
      <c r="A27" s="15"/>
      <c r="B27" s="15"/>
      <c r="C27" s="15"/>
      <c r="D27" s="16" t="str">
        <f aca="false">IF(C27="","— Rate karo",IF(C27&gt;=9,"🌟 Outstanding",IF(C27&gt;=7,"✅ Good",IF(C27&gt;=5,"🟡 Average",IF(C27&gt;=3,"🔴 Below Average","❌ Poor")))))</f>
        <v>— Rate karo</v>
      </c>
      <c r="E27" s="15"/>
      <c r="F27" s="15"/>
    </row>
    <row r="28" customFormat="false" ht="24" hidden="false" customHeight="true" outlineLevel="0" collapsed="false">
      <c r="A28" s="17"/>
      <c r="B28" s="17"/>
      <c r="C28" s="17"/>
      <c r="D28" s="18" t="str">
        <f aca="false">IF(C28="","— Rate karo",IF(C28&gt;=9,"🌟 Outstanding",IF(C28&gt;=7,"✅ Good",IF(C28&gt;=5,"🟡 Average",IF(C28&gt;=3,"🔴 Below Average","❌ Poor")))))</f>
        <v>— Rate karo</v>
      </c>
      <c r="E28" s="17"/>
      <c r="F28" s="17"/>
    </row>
    <row r="29" customFormat="false" ht="24" hidden="false" customHeight="true" outlineLevel="0" collapsed="false">
      <c r="A29" s="15"/>
      <c r="B29" s="15"/>
      <c r="C29" s="15"/>
      <c r="D29" s="16" t="str">
        <f aca="false">IF(C29="","— Rate karo",IF(C29&gt;=9,"🌟 Outstanding",IF(C29&gt;=7,"✅ Good",IF(C29&gt;=5,"🟡 Average",IF(C29&gt;=3,"🔴 Below Average","❌ Poor")))))</f>
        <v>— Rate karo</v>
      </c>
      <c r="E29" s="15"/>
      <c r="F29" s="15"/>
    </row>
    <row r="30" customFormat="false" ht="24" hidden="false" customHeight="true" outlineLevel="0" collapsed="false">
      <c r="A30" s="17"/>
      <c r="B30" s="17"/>
      <c r="C30" s="17"/>
      <c r="D30" s="18" t="str">
        <f aca="false">IF(C30="","— Rate karo",IF(C30&gt;=9,"🌟 Outstanding",IF(C30&gt;=7,"✅ Good",IF(C30&gt;=5,"🟡 Average",IF(C30&gt;=3,"🔴 Below Average","❌ Poor")))))</f>
        <v>— Rate karo</v>
      </c>
      <c r="E30" s="17"/>
      <c r="F30" s="17"/>
    </row>
    <row r="31" customFormat="false" ht="24" hidden="false" customHeight="true" outlineLevel="0" collapsed="false">
      <c r="A31" s="15"/>
      <c r="B31" s="15"/>
      <c r="C31" s="15"/>
      <c r="D31" s="16" t="str">
        <f aca="false">IF(C31="","— Rate karo",IF(C31&gt;=9,"🌟 Outstanding",IF(C31&gt;=7,"✅ Good",IF(C31&gt;=5,"🟡 Average",IF(C31&gt;=3,"🔴 Below Average","❌ Poor")))))</f>
        <v>— Rate karo</v>
      </c>
      <c r="E31" s="15"/>
      <c r="F31" s="15"/>
    </row>
    <row r="32" customFormat="false" ht="24" hidden="false" customHeight="true" outlineLevel="0" collapsed="false">
      <c r="A32" s="17"/>
      <c r="B32" s="17"/>
      <c r="C32" s="17"/>
      <c r="D32" s="18" t="str">
        <f aca="false">IF(C32="","— Rate karo",IF(C32&gt;=9,"🌟 Outstanding",IF(C32&gt;=7,"✅ Good",IF(C32&gt;=5,"🟡 Average",IF(C32&gt;=3,"🔴 Below Average","❌ Poor")))))</f>
        <v>— Rate karo</v>
      </c>
      <c r="E32" s="17"/>
      <c r="F32" s="17"/>
    </row>
    <row r="33" customFormat="false" ht="24" hidden="false" customHeight="true" outlineLevel="0" collapsed="false">
      <c r="A33" s="15"/>
      <c r="B33" s="15"/>
      <c r="C33" s="15"/>
      <c r="D33" s="16" t="str">
        <f aca="false">IF(C33="","— Rate karo",IF(C33&gt;=9,"🌟 Outstanding",IF(C33&gt;=7,"✅ Good",IF(C33&gt;=5,"🟡 Average",IF(C33&gt;=3,"🔴 Below Average","❌ Poor")))))</f>
        <v>— Rate karo</v>
      </c>
      <c r="E33" s="15"/>
      <c r="F33" s="15"/>
    </row>
    <row r="34" customFormat="false" ht="24" hidden="false" customHeight="true" outlineLevel="0" collapsed="false">
      <c r="A34" s="17"/>
      <c r="B34" s="17"/>
      <c r="C34" s="17"/>
      <c r="D34" s="18" t="str">
        <f aca="false">IF(C34="","— Rate karo",IF(C34&gt;=9,"🌟 Outstanding",IF(C34&gt;=7,"✅ Good",IF(C34&gt;=5,"🟡 Average",IF(C34&gt;=3,"🔴 Below Average","❌ Poor")))))</f>
        <v>— Rate karo</v>
      </c>
      <c r="E34" s="17"/>
      <c r="F34" s="17"/>
    </row>
    <row r="35" customFormat="false" ht="24" hidden="false" customHeight="true" outlineLevel="0" collapsed="false">
      <c r="A35" s="15"/>
      <c r="B35" s="15"/>
      <c r="C35" s="15"/>
      <c r="D35" s="16" t="str">
        <f aca="false">IF(C35="","— Rate karo",IF(C35&gt;=9,"🌟 Outstanding",IF(C35&gt;=7,"✅ Good",IF(C35&gt;=5,"🟡 Average",IF(C35&gt;=3,"🔴 Below Average","❌ Poor")))))</f>
        <v>— Rate karo</v>
      </c>
      <c r="E35" s="15"/>
      <c r="F35" s="15"/>
    </row>
    <row r="36" customFormat="false" ht="24" hidden="false" customHeight="true" outlineLevel="0" collapsed="false">
      <c r="A36" s="17"/>
      <c r="B36" s="17"/>
      <c r="C36" s="17"/>
      <c r="D36" s="18" t="str">
        <f aca="false">IF(C36="","— Rate karo",IF(C36&gt;=9,"🌟 Outstanding",IF(C36&gt;=7,"✅ Good",IF(C36&gt;=5,"🟡 Average",IF(C36&gt;=3,"🔴 Below Average","❌ Poor")))))</f>
        <v>— Rate karo</v>
      </c>
      <c r="E36" s="17"/>
      <c r="F36" s="17"/>
    </row>
    <row r="37" customFormat="false" ht="24" hidden="false" customHeight="true" outlineLevel="0" collapsed="false">
      <c r="A37" s="15"/>
      <c r="B37" s="15"/>
      <c r="C37" s="15"/>
      <c r="D37" s="16" t="str">
        <f aca="false">IF(C37="","— Rate karo",IF(C37&gt;=9,"🌟 Outstanding",IF(C37&gt;=7,"✅ Good",IF(C37&gt;=5,"🟡 Average",IF(C37&gt;=3,"🔴 Below Average","❌ Poor")))))</f>
        <v>— Rate karo</v>
      </c>
      <c r="E37" s="15"/>
      <c r="F37" s="15"/>
    </row>
    <row r="38" customFormat="false" ht="24" hidden="false" customHeight="true" outlineLevel="0" collapsed="false">
      <c r="A38" s="17"/>
      <c r="B38" s="17"/>
      <c r="C38" s="17"/>
      <c r="D38" s="18" t="str">
        <f aca="false">IF(C38="","— Rate karo",IF(C38&gt;=9,"🌟 Outstanding",IF(C38&gt;=7,"✅ Good",IF(C38&gt;=5,"🟡 Average",IF(C38&gt;=3,"🔴 Below Average","❌ Poor")))))</f>
        <v>— Rate karo</v>
      </c>
      <c r="E38" s="17"/>
      <c r="F38" s="17"/>
    </row>
    <row r="39" customFormat="false" ht="24" hidden="false" customHeight="true" outlineLevel="0" collapsed="false">
      <c r="A39" s="15"/>
      <c r="B39" s="15"/>
      <c r="C39" s="15"/>
      <c r="D39" s="16" t="str">
        <f aca="false">IF(C39="","— Rate karo",IF(C39&gt;=9,"🌟 Outstanding",IF(C39&gt;=7,"✅ Good",IF(C39&gt;=5,"🟡 Average",IF(C39&gt;=3,"🔴 Below Average","❌ Poor")))))</f>
        <v>— Rate karo</v>
      </c>
      <c r="E39" s="15"/>
      <c r="F39" s="15"/>
    </row>
    <row r="40" customFormat="false" ht="24" hidden="false" customHeight="true" outlineLevel="0" collapsed="false">
      <c r="A40" s="17"/>
      <c r="B40" s="17"/>
      <c r="C40" s="17"/>
      <c r="D40" s="18" t="str">
        <f aca="false">IF(C40="","— Rate karo",IF(C40&gt;=9,"🌟 Outstanding",IF(C40&gt;=7,"✅ Good",IF(C40&gt;=5,"🟡 Average",IF(C40&gt;=3,"🔴 Below Average","❌ Poor")))))</f>
        <v>— Rate karo</v>
      </c>
      <c r="E40" s="17"/>
      <c r="F40" s="17"/>
    </row>
    <row r="41" customFormat="false" ht="24" hidden="false" customHeight="true" outlineLevel="0" collapsed="false">
      <c r="A41" s="15"/>
      <c r="B41" s="15"/>
      <c r="C41" s="15"/>
      <c r="D41" s="16" t="str">
        <f aca="false">IF(C41="","— Rate karo",IF(C41&gt;=9,"🌟 Outstanding",IF(C41&gt;=7,"✅ Good",IF(C41&gt;=5,"🟡 Average",IF(C41&gt;=3,"🔴 Below Average","❌ Poor")))))</f>
        <v>— Rate karo</v>
      </c>
      <c r="E41" s="15"/>
      <c r="F41" s="15"/>
    </row>
    <row r="42" customFormat="false" ht="24" hidden="false" customHeight="true" outlineLevel="0" collapsed="false">
      <c r="A42" s="17"/>
      <c r="B42" s="17"/>
      <c r="C42" s="17"/>
      <c r="D42" s="18" t="str">
        <f aca="false">IF(C42="","— Rate karo",IF(C42&gt;=9,"🌟 Outstanding",IF(C42&gt;=7,"✅ Good",IF(C42&gt;=5,"🟡 Average",IF(C42&gt;=3,"🔴 Below Average","❌ Poor")))))</f>
        <v>— Rate karo</v>
      </c>
      <c r="E42" s="17"/>
      <c r="F42" s="17"/>
    </row>
    <row r="43" customFormat="false" ht="24" hidden="false" customHeight="true" outlineLevel="0" collapsed="false">
      <c r="A43" s="15"/>
      <c r="B43" s="15"/>
      <c r="C43" s="15"/>
      <c r="D43" s="16" t="str">
        <f aca="false">IF(C43="","— Rate karo",IF(C43&gt;=9,"🌟 Outstanding",IF(C43&gt;=7,"✅ Good",IF(C43&gt;=5,"🟡 Average",IF(C43&gt;=3,"🔴 Below Average","❌ Poor")))))</f>
        <v>— Rate karo</v>
      </c>
      <c r="E43" s="15"/>
      <c r="F43" s="15"/>
    </row>
    <row r="44" customFormat="false" ht="24" hidden="false" customHeight="true" outlineLevel="0" collapsed="false">
      <c r="A44" s="17"/>
      <c r="B44" s="17"/>
      <c r="C44" s="17"/>
      <c r="D44" s="18" t="str">
        <f aca="false">IF(C44="","— Rate karo",IF(C44&gt;=9,"🌟 Outstanding",IF(C44&gt;=7,"✅ Good",IF(C44&gt;=5,"🟡 Average",IF(C44&gt;=3,"🔴 Below Average","❌ Poor")))))</f>
        <v>— Rate karo</v>
      </c>
      <c r="E44" s="17"/>
      <c r="F44" s="17"/>
    </row>
    <row r="45" customFormat="false" ht="24" hidden="false" customHeight="true" outlineLevel="0" collapsed="false">
      <c r="A45" s="15"/>
      <c r="B45" s="15"/>
      <c r="C45" s="15"/>
      <c r="D45" s="16" t="str">
        <f aca="false">IF(C45="","— Rate karo",IF(C45&gt;=9,"🌟 Outstanding",IF(C45&gt;=7,"✅ Good",IF(C45&gt;=5,"🟡 Average",IF(C45&gt;=3,"🔴 Below Average","❌ Poor")))))</f>
        <v>— Rate karo</v>
      </c>
      <c r="E45" s="15"/>
      <c r="F45" s="15"/>
    </row>
    <row r="46" customFormat="false" ht="24" hidden="false" customHeight="true" outlineLevel="0" collapsed="false">
      <c r="A46" s="17"/>
      <c r="B46" s="17"/>
      <c r="C46" s="17"/>
      <c r="D46" s="18" t="str">
        <f aca="false">IF(C46="","— Rate karo",IF(C46&gt;=9,"🌟 Outstanding",IF(C46&gt;=7,"✅ Good",IF(C46&gt;=5,"🟡 Average",IF(C46&gt;=3,"🔴 Below Average","❌ Poor")))))</f>
        <v>— Rate karo</v>
      </c>
      <c r="E46" s="17"/>
      <c r="F46" s="17"/>
    </row>
    <row r="47" customFormat="false" ht="24" hidden="false" customHeight="true" outlineLevel="0" collapsed="false">
      <c r="A47" s="15"/>
      <c r="B47" s="15"/>
      <c r="C47" s="15"/>
      <c r="D47" s="16" t="str">
        <f aca="false">IF(C47="","— Rate karo",IF(C47&gt;=9,"🌟 Outstanding",IF(C47&gt;=7,"✅ Good",IF(C47&gt;=5,"🟡 Average",IF(C47&gt;=3,"🔴 Below Average","❌ Poor")))))</f>
        <v>— Rate karo</v>
      </c>
      <c r="E47" s="15"/>
      <c r="F47" s="15"/>
    </row>
    <row r="48" customFormat="false" ht="24" hidden="false" customHeight="true" outlineLevel="0" collapsed="false">
      <c r="A48" s="17"/>
      <c r="B48" s="17"/>
      <c r="C48" s="17"/>
      <c r="D48" s="18" t="str">
        <f aca="false">IF(C48="","— Rate karo",IF(C48&gt;=9,"🌟 Outstanding",IF(C48&gt;=7,"✅ Good",IF(C48&gt;=5,"🟡 Average",IF(C48&gt;=3,"🔴 Below Average","❌ Poor")))))</f>
        <v>— Rate karo</v>
      </c>
      <c r="E48" s="17"/>
      <c r="F48" s="17"/>
    </row>
    <row r="49" customFormat="false" ht="24" hidden="false" customHeight="true" outlineLevel="0" collapsed="false">
      <c r="A49" s="15"/>
      <c r="B49" s="15"/>
      <c r="C49" s="15"/>
      <c r="D49" s="16" t="str">
        <f aca="false">IF(C49="","— Rate karo",IF(C49&gt;=9,"🌟 Outstanding",IF(C49&gt;=7,"✅ Good",IF(C49&gt;=5,"🟡 Average",IF(C49&gt;=3,"🔴 Below Average","❌ Poor")))))</f>
        <v>— Rate karo</v>
      </c>
      <c r="E49" s="15"/>
      <c r="F49" s="15"/>
    </row>
    <row r="50" customFormat="false" ht="24" hidden="false" customHeight="true" outlineLevel="0" collapsed="false">
      <c r="A50" s="17"/>
      <c r="B50" s="17"/>
      <c r="C50" s="17"/>
      <c r="D50" s="18" t="str">
        <f aca="false">IF(C50="","— Rate karo",IF(C50&gt;=9,"🌟 Outstanding",IF(C50&gt;=7,"✅ Good",IF(C50&gt;=5,"🟡 Average",IF(C50&gt;=3,"🔴 Below Average","❌ Poor")))))</f>
        <v>— Rate karo</v>
      </c>
      <c r="E50" s="17"/>
      <c r="F50" s="17"/>
    </row>
    <row r="51" customFormat="false" ht="24" hidden="false" customHeight="true" outlineLevel="0" collapsed="false">
      <c r="A51" s="15"/>
      <c r="B51" s="15"/>
      <c r="C51" s="15"/>
      <c r="D51" s="16" t="str">
        <f aca="false">IF(C51="","— Rate karo",IF(C51&gt;=9,"🌟 Outstanding",IF(C51&gt;=7,"✅ Good",IF(C51&gt;=5,"🟡 Average",IF(C51&gt;=3,"🔴 Below Average","❌ Poor")))))</f>
        <v>— Rate karo</v>
      </c>
      <c r="E51" s="15"/>
      <c r="F51" s="15"/>
    </row>
    <row r="52" customFormat="false" ht="24" hidden="false" customHeight="true" outlineLevel="0" collapsed="false">
      <c r="A52" s="17"/>
      <c r="B52" s="17"/>
      <c r="C52" s="17"/>
      <c r="D52" s="18" t="str">
        <f aca="false">IF(C52="","— Rate karo",IF(C52&gt;=9,"🌟 Outstanding",IF(C52&gt;=7,"✅ Good",IF(C52&gt;=5,"🟡 Average",IF(C52&gt;=3,"🔴 Below Average","❌ Poor")))))</f>
        <v>— Rate karo</v>
      </c>
      <c r="E52" s="17"/>
      <c r="F52" s="17"/>
    </row>
    <row r="53" customFormat="false" ht="24" hidden="false" customHeight="true" outlineLevel="0" collapsed="false">
      <c r="A53" s="15"/>
      <c r="B53" s="15"/>
      <c r="C53" s="15"/>
      <c r="D53" s="16" t="str">
        <f aca="false">IF(C53="","— Rate karo",IF(C53&gt;=9,"🌟 Outstanding",IF(C53&gt;=7,"✅ Good",IF(C53&gt;=5,"🟡 Average",IF(C53&gt;=3,"🔴 Below Average","❌ Poor")))))</f>
        <v>— Rate karo</v>
      </c>
      <c r="E53" s="15"/>
      <c r="F53" s="15"/>
    </row>
    <row r="54" customFormat="false" ht="24" hidden="false" customHeight="true" outlineLevel="0" collapsed="false">
      <c r="A54" s="17"/>
      <c r="B54" s="17"/>
      <c r="C54" s="17"/>
      <c r="D54" s="18" t="str">
        <f aca="false">IF(C54="","— Rate karo",IF(C54&gt;=9,"🌟 Outstanding",IF(C54&gt;=7,"✅ Good",IF(C54&gt;=5,"🟡 Average",IF(C54&gt;=3,"🔴 Below Average","❌ Poor")))))</f>
        <v>— Rate karo</v>
      </c>
      <c r="E54" s="17"/>
      <c r="F54" s="17"/>
    </row>
    <row r="55" customFormat="false" ht="24" hidden="false" customHeight="true" outlineLevel="0" collapsed="false">
      <c r="A55" s="15"/>
      <c r="B55" s="15"/>
      <c r="C55" s="15"/>
      <c r="D55" s="16" t="str">
        <f aca="false">IF(C55="","— Rate karo",IF(C55&gt;=9,"🌟 Outstanding",IF(C55&gt;=7,"✅ Good",IF(C55&gt;=5,"🟡 Average",IF(C55&gt;=3,"🔴 Below Average","❌ Poor")))))</f>
        <v>— Rate karo</v>
      </c>
      <c r="E55" s="15"/>
      <c r="F55" s="15"/>
    </row>
    <row r="56" customFormat="false" ht="24" hidden="false" customHeight="true" outlineLevel="0" collapsed="false">
      <c r="A56" s="17"/>
      <c r="B56" s="17"/>
      <c r="C56" s="17"/>
      <c r="D56" s="18" t="str">
        <f aca="false">IF(C56="","— Rate karo",IF(C56&gt;=9,"🌟 Outstanding",IF(C56&gt;=7,"✅ Good",IF(C56&gt;=5,"🟡 Average",IF(C56&gt;=3,"🔴 Below Average","❌ Poor")))))</f>
        <v>— Rate karo</v>
      </c>
      <c r="E56" s="17"/>
      <c r="F56" s="17"/>
    </row>
    <row r="57" customFormat="false" ht="24" hidden="false" customHeight="true" outlineLevel="0" collapsed="false">
      <c r="A57" s="15"/>
      <c r="B57" s="15"/>
      <c r="C57" s="15"/>
      <c r="D57" s="16" t="str">
        <f aca="false">IF(C57="","— Rate karo",IF(C57&gt;=9,"🌟 Outstanding",IF(C57&gt;=7,"✅ Good",IF(C57&gt;=5,"🟡 Average",IF(C57&gt;=3,"🔴 Below Average","❌ Poor")))))</f>
        <v>— Rate karo</v>
      </c>
      <c r="E57" s="15"/>
      <c r="F57" s="15"/>
    </row>
    <row r="58" customFormat="false" ht="24" hidden="false" customHeight="true" outlineLevel="0" collapsed="false">
      <c r="A58" s="17"/>
      <c r="B58" s="17"/>
      <c r="C58" s="17"/>
      <c r="D58" s="18" t="str">
        <f aca="false">IF(C58="","— Rate karo",IF(C58&gt;=9,"🌟 Outstanding",IF(C58&gt;=7,"✅ Good",IF(C58&gt;=5,"🟡 Average",IF(C58&gt;=3,"🔴 Below Average","❌ Poor")))))</f>
        <v>— Rate karo</v>
      </c>
      <c r="E58" s="17"/>
      <c r="F58" s="17"/>
    </row>
    <row r="59" customFormat="false" ht="24" hidden="false" customHeight="true" outlineLevel="0" collapsed="false">
      <c r="A59" s="15"/>
      <c r="B59" s="15"/>
      <c r="C59" s="15"/>
      <c r="D59" s="16" t="str">
        <f aca="false">IF(C59="","— Rate karo",IF(C59&gt;=9,"🌟 Outstanding",IF(C59&gt;=7,"✅ Good",IF(C59&gt;=5,"🟡 Average",IF(C59&gt;=3,"🔴 Below Average","❌ Poor")))))</f>
        <v>— Rate karo</v>
      </c>
      <c r="E59" s="15"/>
      <c r="F59" s="15"/>
    </row>
    <row r="60" customFormat="false" ht="24" hidden="false" customHeight="true" outlineLevel="0" collapsed="false">
      <c r="A60" s="17"/>
      <c r="B60" s="17"/>
      <c r="C60" s="17"/>
      <c r="D60" s="18" t="str">
        <f aca="false">IF(C60="","— Rate karo",IF(C60&gt;=9,"🌟 Outstanding",IF(C60&gt;=7,"✅ Good",IF(C60&gt;=5,"🟡 Average",IF(C60&gt;=3,"🔴 Below Average","❌ Poor")))))</f>
        <v>— Rate karo</v>
      </c>
      <c r="E60" s="17"/>
      <c r="F60" s="17"/>
    </row>
    <row r="61" customFormat="false" ht="24" hidden="false" customHeight="true" outlineLevel="0" collapsed="false">
      <c r="A61" s="15"/>
      <c r="B61" s="15"/>
      <c r="C61" s="15"/>
      <c r="D61" s="16" t="str">
        <f aca="false">IF(C61="","— Rate karo",IF(C61&gt;=9,"🌟 Outstanding",IF(C61&gt;=7,"✅ Good",IF(C61&gt;=5,"🟡 Average",IF(C61&gt;=3,"🔴 Below Average","❌ Poor")))))</f>
        <v>— Rate karo</v>
      </c>
      <c r="E61" s="15"/>
      <c r="F61" s="15"/>
    </row>
    <row r="62" customFormat="false" ht="24" hidden="false" customHeight="true" outlineLevel="0" collapsed="false">
      <c r="A62" s="17"/>
      <c r="B62" s="17"/>
      <c r="C62" s="17"/>
      <c r="D62" s="18" t="str">
        <f aca="false">IF(C62="","— Rate karo",IF(C62&gt;=9,"🌟 Outstanding",IF(C62&gt;=7,"✅ Good",IF(C62&gt;=5,"🟡 Average",IF(C62&gt;=3,"🔴 Below Average","❌ Poor")))))</f>
        <v>— Rate karo</v>
      </c>
      <c r="E62" s="17"/>
      <c r="F62" s="17"/>
    </row>
    <row r="63" customFormat="false" ht="24" hidden="false" customHeight="true" outlineLevel="0" collapsed="false">
      <c r="A63" s="15"/>
      <c r="B63" s="15"/>
      <c r="C63" s="15"/>
      <c r="D63" s="16" t="str">
        <f aca="false">IF(C63="","— Rate karo",IF(C63&gt;=9,"🌟 Outstanding",IF(C63&gt;=7,"✅ Good",IF(C63&gt;=5,"🟡 Average",IF(C63&gt;=3,"🔴 Below Average","❌ Poor")))))</f>
        <v>— Rate karo</v>
      </c>
      <c r="E63" s="15"/>
      <c r="F63" s="15"/>
    </row>
    <row r="64" customFormat="false" ht="24" hidden="false" customHeight="true" outlineLevel="0" collapsed="false">
      <c r="A64" s="17"/>
      <c r="B64" s="17"/>
      <c r="C64" s="17"/>
      <c r="D64" s="18" t="str">
        <f aca="false">IF(C64="","— Rate karo",IF(C64&gt;=9,"🌟 Outstanding",IF(C64&gt;=7,"✅ Good",IF(C64&gt;=5,"🟡 Average",IF(C64&gt;=3,"🔴 Below Average","❌ Poor")))))</f>
        <v>— Rate karo</v>
      </c>
      <c r="E64" s="17"/>
      <c r="F64" s="17"/>
    </row>
    <row r="65" customFormat="false" ht="24" hidden="false" customHeight="true" outlineLevel="0" collapsed="false">
      <c r="A65" s="15"/>
      <c r="B65" s="15"/>
      <c r="C65" s="15"/>
      <c r="D65" s="16" t="str">
        <f aca="false">IF(C65="","— Rate karo",IF(C65&gt;=9,"🌟 Outstanding",IF(C65&gt;=7,"✅ Good",IF(C65&gt;=5,"🟡 Average",IF(C65&gt;=3,"🔴 Below Average","❌ Poor")))))</f>
        <v>— Rate karo</v>
      </c>
      <c r="E65" s="15"/>
      <c r="F65" s="15"/>
    </row>
    <row r="66" customFormat="false" ht="24" hidden="false" customHeight="true" outlineLevel="0" collapsed="false">
      <c r="A66" s="17"/>
      <c r="B66" s="17"/>
      <c r="C66" s="17"/>
      <c r="D66" s="18" t="str">
        <f aca="false">IF(C66="","— Rate karo",IF(C66&gt;=9,"🌟 Outstanding",IF(C66&gt;=7,"✅ Good",IF(C66&gt;=5,"🟡 Average",IF(C66&gt;=3,"🔴 Below Average","❌ Poor")))))</f>
        <v>— Rate karo</v>
      </c>
      <c r="E66" s="17"/>
      <c r="F66" s="17"/>
    </row>
    <row r="67" customFormat="false" ht="24" hidden="false" customHeight="true" outlineLevel="0" collapsed="false">
      <c r="A67" s="15"/>
      <c r="B67" s="15"/>
      <c r="C67" s="15"/>
      <c r="D67" s="16" t="str">
        <f aca="false">IF(C67="","— Rate karo",IF(C67&gt;=9,"🌟 Outstanding",IF(C67&gt;=7,"✅ Good",IF(C67&gt;=5,"🟡 Average",IF(C67&gt;=3,"🔴 Below Average","❌ Poor")))))</f>
        <v>— Rate karo</v>
      </c>
      <c r="E67" s="15"/>
      <c r="F67" s="15"/>
    </row>
    <row r="68" customFormat="false" ht="24" hidden="false" customHeight="true" outlineLevel="0" collapsed="false">
      <c r="A68" s="17"/>
      <c r="B68" s="17"/>
      <c r="C68" s="17"/>
      <c r="D68" s="18" t="str">
        <f aca="false">IF(C68="","— Rate karo",IF(C68&gt;=9,"🌟 Outstanding",IF(C68&gt;=7,"✅ Good",IF(C68&gt;=5,"🟡 Average",IF(C68&gt;=3,"🔴 Below Average","❌ Poor")))))</f>
        <v>— Rate karo</v>
      </c>
      <c r="E68" s="17"/>
      <c r="F68" s="17"/>
    </row>
    <row r="69" customFormat="false" ht="24" hidden="false" customHeight="true" outlineLevel="0" collapsed="false">
      <c r="A69" s="15"/>
      <c r="B69" s="15"/>
      <c r="C69" s="15"/>
      <c r="D69" s="16" t="str">
        <f aca="false">IF(C69="","— Rate karo",IF(C69&gt;=9,"🌟 Outstanding",IF(C69&gt;=7,"✅ Good",IF(C69&gt;=5,"🟡 Average",IF(C69&gt;=3,"🔴 Below Average","❌ Poor")))))</f>
        <v>— Rate karo</v>
      </c>
      <c r="E69" s="15"/>
      <c r="F69" s="15"/>
    </row>
    <row r="70" customFormat="false" ht="24" hidden="false" customHeight="true" outlineLevel="0" collapsed="false">
      <c r="A70" s="17"/>
      <c r="B70" s="17"/>
      <c r="C70" s="17"/>
      <c r="D70" s="18" t="str">
        <f aca="false">IF(C70="","— Rate karo",IF(C70&gt;=9,"🌟 Outstanding",IF(C70&gt;=7,"✅ Good",IF(C70&gt;=5,"🟡 Average",IF(C70&gt;=3,"🔴 Below Average","❌ Poor")))))</f>
        <v>— Rate karo</v>
      </c>
      <c r="E70" s="17"/>
      <c r="F70" s="17"/>
    </row>
    <row r="71" customFormat="false" ht="24" hidden="false" customHeight="true" outlineLevel="0" collapsed="false">
      <c r="A71" s="15"/>
      <c r="B71" s="15"/>
      <c r="C71" s="15"/>
      <c r="D71" s="16" t="str">
        <f aca="false">IF(C71="","— Rate karo",IF(C71&gt;=9,"🌟 Outstanding",IF(C71&gt;=7,"✅ Good",IF(C71&gt;=5,"🟡 Average",IF(C71&gt;=3,"🔴 Below Average","❌ Poor")))))</f>
        <v>— Rate karo</v>
      </c>
      <c r="E71" s="15"/>
      <c r="F71" s="15"/>
    </row>
    <row r="72" customFormat="false" ht="24" hidden="false" customHeight="true" outlineLevel="0" collapsed="false">
      <c r="A72" s="17"/>
      <c r="B72" s="17"/>
      <c r="C72" s="17"/>
      <c r="D72" s="18" t="str">
        <f aca="false">IF(C72="","— Rate karo",IF(C72&gt;=9,"🌟 Outstanding",IF(C72&gt;=7,"✅ Good",IF(C72&gt;=5,"🟡 Average",IF(C72&gt;=3,"🔴 Below Average","❌ Poor")))))</f>
        <v>— Rate karo</v>
      </c>
      <c r="E72" s="17"/>
      <c r="F72" s="17"/>
    </row>
    <row r="73" customFormat="false" ht="24" hidden="false" customHeight="true" outlineLevel="0" collapsed="false">
      <c r="A73" s="15"/>
      <c r="B73" s="15"/>
      <c r="C73" s="15"/>
      <c r="D73" s="16" t="str">
        <f aca="false">IF(C73="","— Rate karo",IF(C73&gt;=9,"🌟 Outstanding",IF(C73&gt;=7,"✅ Good",IF(C73&gt;=5,"🟡 Average",IF(C73&gt;=3,"🔴 Below Average","❌ Poor")))))</f>
        <v>— Rate karo</v>
      </c>
      <c r="E73" s="15"/>
      <c r="F73" s="15"/>
    </row>
    <row r="74" customFormat="false" ht="24" hidden="false" customHeight="true" outlineLevel="0" collapsed="false">
      <c r="A74" s="17"/>
      <c r="B74" s="17"/>
      <c r="C74" s="17"/>
      <c r="D74" s="18" t="str">
        <f aca="false">IF(C74="","— Rate karo",IF(C74&gt;=9,"🌟 Outstanding",IF(C74&gt;=7,"✅ Good",IF(C74&gt;=5,"🟡 Average",IF(C74&gt;=3,"🔴 Below Average","❌ Poor")))))</f>
        <v>— Rate karo</v>
      </c>
      <c r="E74" s="17"/>
      <c r="F74" s="17"/>
    </row>
    <row r="75" customFormat="false" ht="24" hidden="false" customHeight="true" outlineLevel="0" collapsed="false">
      <c r="A75" s="15"/>
      <c r="B75" s="15"/>
      <c r="C75" s="15"/>
      <c r="D75" s="16" t="str">
        <f aca="false">IF(C75="","— Rate karo",IF(C75&gt;=9,"🌟 Outstanding",IF(C75&gt;=7,"✅ Good",IF(C75&gt;=5,"🟡 Average",IF(C75&gt;=3,"🔴 Below Average","❌ Poor")))))</f>
        <v>— Rate karo</v>
      </c>
      <c r="E75" s="15"/>
      <c r="F75" s="15"/>
    </row>
    <row r="76" customFormat="false" ht="24" hidden="false" customHeight="true" outlineLevel="0" collapsed="false">
      <c r="A76" s="17"/>
      <c r="B76" s="17"/>
      <c r="C76" s="17"/>
      <c r="D76" s="18" t="str">
        <f aca="false">IF(C76="","— Rate karo",IF(C76&gt;=9,"🌟 Outstanding",IF(C76&gt;=7,"✅ Good",IF(C76&gt;=5,"🟡 Average",IF(C76&gt;=3,"🔴 Below Average","❌ Poor")))))</f>
        <v>— Rate karo</v>
      </c>
      <c r="E76" s="17"/>
      <c r="F76" s="17"/>
    </row>
    <row r="77" customFormat="false" ht="24" hidden="false" customHeight="true" outlineLevel="0" collapsed="false">
      <c r="A77" s="15"/>
      <c r="B77" s="15"/>
      <c r="C77" s="15"/>
      <c r="D77" s="16" t="str">
        <f aca="false">IF(C77="","— Rate karo",IF(C77&gt;=9,"🌟 Outstanding",IF(C77&gt;=7,"✅ Good",IF(C77&gt;=5,"🟡 Average",IF(C77&gt;=3,"🔴 Below Average","❌ Poor")))))</f>
        <v>— Rate karo</v>
      </c>
      <c r="E77" s="15"/>
      <c r="F77" s="15"/>
    </row>
    <row r="78" customFormat="false" ht="24" hidden="false" customHeight="true" outlineLevel="0" collapsed="false">
      <c r="A78" s="17"/>
      <c r="B78" s="17"/>
      <c r="C78" s="17"/>
      <c r="D78" s="18" t="str">
        <f aca="false">IF(C78="","— Rate karo",IF(C78&gt;=9,"🌟 Outstanding",IF(C78&gt;=7,"✅ Good",IF(C78&gt;=5,"🟡 Average",IF(C78&gt;=3,"🔴 Below Average","❌ Poor")))))</f>
        <v>— Rate karo</v>
      </c>
      <c r="E78" s="17"/>
      <c r="F78" s="17"/>
    </row>
    <row r="79" customFormat="false" ht="24" hidden="false" customHeight="true" outlineLevel="0" collapsed="false">
      <c r="A79" s="15"/>
      <c r="B79" s="15"/>
      <c r="C79" s="15"/>
      <c r="D79" s="16" t="str">
        <f aca="false">IF(C79="","— Rate karo",IF(C79&gt;=9,"🌟 Outstanding",IF(C79&gt;=7,"✅ Good",IF(C79&gt;=5,"🟡 Average",IF(C79&gt;=3,"🔴 Below Average","❌ Poor")))))</f>
        <v>— Rate karo</v>
      </c>
      <c r="E79" s="15"/>
      <c r="F79" s="15"/>
    </row>
    <row r="80" customFormat="false" ht="24" hidden="false" customHeight="true" outlineLevel="0" collapsed="false">
      <c r="A80" s="17"/>
      <c r="B80" s="17"/>
      <c r="C80" s="17"/>
      <c r="D80" s="18" t="str">
        <f aca="false">IF(C80="","— Rate karo",IF(C80&gt;=9,"🌟 Outstanding",IF(C80&gt;=7,"✅ Good",IF(C80&gt;=5,"🟡 Average",IF(C80&gt;=3,"🔴 Below Average","❌ Poor")))))</f>
        <v>— Rate karo</v>
      </c>
      <c r="E80" s="17"/>
      <c r="F80" s="17"/>
    </row>
    <row r="81" customFormat="false" ht="24" hidden="false" customHeight="true" outlineLevel="0" collapsed="false">
      <c r="A81" s="15"/>
      <c r="B81" s="15"/>
      <c r="C81" s="15"/>
      <c r="D81" s="16" t="str">
        <f aca="false">IF(C81="","— Rate karo",IF(C81&gt;=9,"🌟 Outstanding",IF(C81&gt;=7,"✅ Good",IF(C81&gt;=5,"🟡 Average",IF(C81&gt;=3,"🔴 Below Average","❌ Poor")))))</f>
        <v>— Rate karo</v>
      </c>
      <c r="E81" s="15"/>
      <c r="F81" s="15"/>
    </row>
    <row r="82" customFormat="false" ht="24" hidden="false" customHeight="true" outlineLevel="0" collapsed="false">
      <c r="A82" s="17"/>
      <c r="B82" s="17"/>
      <c r="C82" s="17"/>
      <c r="D82" s="18" t="str">
        <f aca="false">IF(C82="","— Rate karo",IF(C82&gt;=9,"🌟 Outstanding",IF(C82&gt;=7,"✅ Good",IF(C82&gt;=5,"🟡 Average",IF(C82&gt;=3,"🔴 Below Average","❌ Poor")))))</f>
        <v>— Rate karo</v>
      </c>
      <c r="E82" s="17"/>
      <c r="F82" s="17"/>
    </row>
    <row r="83" customFormat="false" ht="24" hidden="false" customHeight="true" outlineLevel="0" collapsed="false">
      <c r="A83" s="15"/>
      <c r="B83" s="15"/>
      <c r="C83" s="15"/>
      <c r="D83" s="16" t="str">
        <f aca="false">IF(C83="","— Rate karo",IF(C83&gt;=9,"🌟 Outstanding",IF(C83&gt;=7,"✅ Good",IF(C83&gt;=5,"🟡 Average",IF(C83&gt;=3,"🔴 Below Average","❌ Poor")))))</f>
        <v>— Rate karo</v>
      </c>
      <c r="E83" s="15"/>
      <c r="F83" s="15"/>
    </row>
    <row r="84" customFormat="false" ht="24" hidden="false" customHeight="true" outlineLevel="0" collapsed="false">
      <c r="A84" s="17"/>
      <c r="B84" s="17"/>
      <c r="C84" s="17"/>
      <c r="D84" s="18" t="str">
        <f aca="false">IF(C84="","— Rate karo",IF(C84&gt;=9,"🌟 Outstanding",IF(C84&gt;=7,"✅ Good",IF(C84&gt;=5,"🟡 Average",IF(C84&gt;=3,"🔴 Below Average","❌ Poor")))))</f>
        <v>— Rate karo</v>
      </c>
      <c r="E84" s="17"/>
      <c r="F84" s="17"/>
    </row>
    <row r="85" customFormat="false" ht="24" hidden="false" customHeight="true" outlineLevel="0" collapsed="false">
      <c r="A85" s="15"/>
      <c r="B85" s="15"/>
      <c r="C85" s="15"/>
      <c r="D85" s="16" t="str">
        <f aca="false">IF(C85="","— Rate karo",IF(C85&gt;=9,"🌟 Outstanding",IF(C85&gt;=7,"✅ Good",IF(C85&gt;=5,"🟡 Average",IF(C85&gt;=3,"🔴 Below Average","❌ Poor")))))</f>
        <v>— Rate karo</v>
      </c>
      <c r="E85" s="15"/>
      <c r="F85" s="15"/>
    </row>
    <row r="86" customFormat="false" ht="24" hidden="false" customHeight="true" outlineLevel="0" collapsed="false">
      <c r="A86" s="17"/>
      <c r="B86" s="17"/>
      <c r="C86" s="17"/>
      <c r="D86" s="18" t="str">
        <f aca="false">IF(C86="","— Rate karo",IF(C86&gt;=9,"🌟 Outstanding",IF(C86&gt;=7,"✅ Good",IF(C86&gt;=5,"🟡 Average",IF(C86&gt;=3,"🔴 Below Average","❌ Poor")))))</f>
        <v>— Rate karo</v>
      </c>
      <c r="E86" s="17"/>
      <c r="F86" s="17"/>
    </row>
    <row r="87" customFormat="false" ht="24" hidden="false" customHeight="true" outlineLevel="0" collapsed="false">
      <c r="A87" s="15"/>
      <c r="B87" s="15"/>
      <c r="C87" s="15"/>
      <c r="D87" s="16" t="str">
        <f aca="false">IF(C87="","— Rate karo",IF(C87&gt;=9,"🌟 Outstanding",IF(C87&gt;=7,"✅ Good",IF(C87&gt;=5,"🟡 Average",IF(C87&gt;=3,"🔴 Below Average","❌ Poor")))))</f>
        <v>— Rate karo</v>
      </c>
      <c r="E87" s="15"/>
      <c r="F87" s="15"/>
    </row>
    <row r="88" customFormat="false" ht="24" hidden="false" customHeight="true" outlineLevel="0" collapsed="false">
      <c r="A88" s="17"/>
      <c r="B88" s="17"/>
      <c r="C88" s="17"/>
      <c r="D88" s="18" t="str">
        <f aca="false">IF(C88="","— Rate karo",IF(C88&gt;=9,"🌟 Outstanding",IF(C88&gt;=7,"✅ Good",IF(C88&gt;=5,"🟡 Average",IF(C88&gt;=3,"🔴 Below Average","❌ Poor")))))</f>
        <v>— Rate karo</v>
      </c>
      <c r="E88" s="17"/>
      <c r="F88" s="17"/>
    </row>
    <row r="89" customFormat="false" ht="24" hidden="false" customHeight="true" outlineLevel="0" collapsed="false">
      <c r="A89" s="15"/>
      <c r="B89" s="15"/>
      <c r="C89" s="15"/>
      <c r="D89" s="16" t="str">
        <f aca="false">IF(C89="","— Rate karo",IF(C89&gt;=9,"🌟 Outstanding",IF(C89&gt;=7,"✅ Good",IF(C89&gt;=5,"🟡 Average",IF(C89&gt;=3,"🔴 Below Average","❌ Poor")))))</f>
        <v>— Rate karo</v>
      </c>
      <c r="E89" s="15"/>
      <c r="F89" s="15"/>
    </row>
    <row r="90" customFormat="false" ht="24" hidden="false" customHeight="true" outlineLevel="0" collapsed="false">
      <c r="A90" s="17"/>
      <c r="B90" s="17"/>
      <c r="C90" s="17"/>
      <c r="D90" s="18" t="str">
        <f aca="false">IF(C90="","— Rate karo",IF(C90&gt;=9,"🌟 Outstanding",IF(C90&gt;=7,"✅ Good",IF(C90&gt;=5,"🟡 Average",IF(C90&gt;=3,"🔴 Below Average","❌ Poor")))))</f>
        <v>— Rate karo</v>
      </c>
      <c r="E90" s="17"/>
      <c r="F90" s="17"/>
    </row>
    <row r="91" customFormat="false" ht="24" hidden="false" customHeight="true" outlineLevel="0" collapsed="false">
      <c r="A91" s="15"/>
      <c r="B91" s="15"/>
      <c r="C91" s="15"/>
      <c r="D91" s="16" t="str">
        <f aca="false">IF(C91="","— Rate karo",IF(C91&gt;=9,"🌟 Outstanding",IF(C91&gt;=7,"✅ Good",IF(C91&gt;=5,"🟡 Average",IF(C91&gt;=3,"🔴 Below Average","❌ Poor")))))</f>
        <v>— Rate karo</v>
      </c>
      <c r="E91" s="15"/>
      <c r="F91" s="15"/>
    </row>
    <row r="92" customFormat="false" ht="24" hidden="false" customHeight="true" outlineLevel="0" collapsed="false">
      <c r="A92" s="17"/>
      <c r="B92" s="17"/>
      <c r="C92" s="17"/>
      <c r="D92" s="18" t="str">
        <f aca="false">IF(C92="","— Rate karo",IF(C92&gt;=9,"🌟 Outstanding",IF(C92&gt;=7,"✅ Good",IF(C92&gt;=5,"🟡 Average",IF(C92&gt;=3,"🔴 Below Average","❌ Poor")))))</f>
        <v>— Rate karo</v>
      </c>
      <c r="E92" s="17"/>
      <c r="F92" s="17"/>
    </row>
    <row r="93" customFormat="false" ht="24" hidden="false" customHeight="true" outlineLevel="0" collapsed="false">
      <c r="A93" s="15"/>
      <c r="B93" s="15"/>
      <c r="C93" s="15"/>
      <c r="D93" s="16" t="str">
        <f aca="false">IF(C93="","— Rate karo",IF(C93&gt;=9,"🌟 Outstanding",IF(C93&gt;=7,"✅ Good",IF(C93&gt;=5,"🟡 Average",IF(C93&gt;=3,"🔴 Below Average","❌ Poor")))))</f>
        <v>— Rate karo</v>
      </c>
      <c r="E93" s="15"/>
      <c r="F93" s="15"/>
    </row>
    <row r="94" customFormat="false" ht="24" hidden="false" customHeight="true" outlineLevel="0" collapsed="false">
      <c r="A94" s="17"/>
      <c r="B94" s="17"/>
      <c r="C94" s="17"/>
      <c r="D94" s="18" t="str">
        <f aca="false">IF(C94="","— Rate karo",IF(C94&gt;=9,"🌟 Outstanding",IF(C94&gt;=7,"✅ Good",IF(C94&gt;=5,"🟡 Average",IF(C94&gt;=3,"🔴 Below Average","❌ Poor")))))</f>
        <v>— Rate karo</v>
      </c>
      <c r="E94" s="17"/>
      <c r="F94" s="17"/>
    </row>
    <row r="95" customFormat="false" ht="24" hidden="false" customHeight="true" outlineLevel="0" collapsed="false">
      <c r="A95" s="15"/>
      <c r="B95" s="15"/>
      <c r="C95" s="15"/>
      <c r="D95" s="16" t="str">
        <f aca="false">IF(C95="","— Rate karo",IF(C95&gt;=9,"🌟 Outstanding",IF(C95&gt;=7,"✅ Good",IF(C95&gt;=5,"🟡 Average",IF(C95&gt;=3,"🔴 Below Average","❌ Poor")))))</f>
        <v>— Rate karo</v>
      </c>
      <c r="E95" s="15"/>
      <c r="F95" s="15"/>
    </row>
    <row r="96" customFormat="false" ht="24" hidden="false" customHeight="true" outlineLevel="0" collapsed="false">
      <c r="A96" s="17"/>
      <c r="B96" s="17"/>
      <c r="C96" s="17"/>
      <c r="D96" s="18" t="str">
        <f aca="false">IF(C96="","— Rate karo",IF(C96&gt;=9,"🌟 Outstanding",IF(C96&gt;=7,"✅ Good",IF(C96&gt;=5,"🟡 Average",IF(C96&gt;=3,"🔴 Below Average","❌ Poor")))))</f>
        <v>— Rate karo</v>
      </c>
      <c r="E96" s="17"/>
      <c r="F96" s="17"/>
    </row>
    <row r="97" customFormat="false" ht="24" hidden="false" customHeight="true" outlineLevel="0" collapsed="false">
      <c r="A97" s="15"/>
      <c r="B97" s="15"/>
      <c r="C97" s="15"/>
      <c r="D97" s="16" t="str">
        <f aca="false">IF(C97="","— Rate karo",IF(C97&gt;=9,"🌟 Outstanding",IF(C97&gt;=7,"✅ Good",IF(C97&gt;=5,"🟡 Average",IF(C97&gt;=3,"🔴 Below Average","❌ Poor")))))</f>
        <v>— Rate karo</v>
      </c>
      <c r="E97" s="15"/>
      <c r="F97" s="15"/>
    </row>
    <row r="98" customFormat="false" ht="24" hidden="false" customHeight="true" outlineLevel="0" collapsed="false">
      <c r="A98" s="17"/>
      <c r="B98" s="17"/>
      <c r="C98" s="17"/>
      <c r="D98" s="18" t="str">
        <f aca="false">IF(C98="","— Rate karo",IF(C98&gt;=9,"🌟 Outstanding",IF(C98&gt;=7,"✅ Good",IF(C98&gt;=5,"🟡 Average",IF(C98&gt;=3,"🔴 Below Average","❌ Poor")))))</f>
        <v>— Rate karo</v>
      </c>
      <c r="E98" s="17"/>
      <c r="F98" s="17"/>
    </row>
    <row r="99" customFormat="false" ht="24" hidden="false" customHeight="true" outlineLevel="0" collapsed="false">
      <c r="A99" s="15"/>
      <c r="B99" s="15"/>
      <c r="C99" s="15"/>
      <c r="D99" s="16" t="str">
        <f aca="false">IF(C99="","— Rate karo",IF(C99&gt;=9,"🌟 Outstanding",IF(C99&gt;=7,"✅ Good",IF(C99&gt;=5,"🟡 Average",IF(C99&gt;=3,"🔴 Below Average","❌ Poor")))))</f>
        <v>— Rate karo</v>
      </c>
      <c r="E99" s="15"/>
      <c r="F99" s="15"/>
    </row>
    <row r="100" customFormat="false" ht="24" hidden="false" customHeight="true" outlineLevel="0" collapsed="false">
      <c r="A100" s="17"/>
      <c r="B100" s="17"/>
      <c r="C100" s="17"/>
      <c r="D100" s="18" t="str">
        <f aca="false">IF(C100="","— Rate karo",IF(C100&gt;=9,"🌟 Outstanding",IF(C100&gt;=7,"✅ Good",IF(C100&gt;=5,"🟡 Average",IF(C100&gt;=3,"🔴 Below Average","❌ Poor")))))</f>
        <v>— Rate karo</v>
      </c>
      <c r="E100" s="17"/>
      <c r="F100" s="17"/>
    </row>
    <row r="101" customFormat="false" ht="24" hidden="false" customHeight="true" outlineLevel="0" collapsed="false">
      <c r="A101" s="15"/>
      <c r="B101" s="15"/>
      <c r="C101" s="15"/>
      <c r="D101" s="16" t="str">
        <f aca="false">IF(C101="","— Rate karo",IF(C101&gt;=9,"🌟 Outstanding",IF(C101&gt;=7,"✅ Good",IF(C101&gt;=5,"🟡 Average",IF(C101&gt;=3,"🔴 Below Average","❌ Poor")))))</f>
        <v>— Rate karo</v>
      </c>
      <c r="E101" s="15"/>
      <c r="F101" s="15"/>
    </row>
    <row r="102" customFormat="false" ht="24" hidden="false" customHeight="true" outlineLevel="0" collapsed="false">
      <c r="A102" s="17"/>
      <c r="B102" s="17"/>
      <c r="C102" s="17"/>
      <c r="D102" s="18" t="str">
        <f aca="false">IF(C102="","— Rate karo",IF(C102&gt;=9,"🌟 Outstanding",IF(C102&gt;=7,"✅ Good",IF(C102&gt;=5,"🟡 Average",IF(C102&gt;=3,"🔴 Below Average","❌ Poor")))))</f>
        <v>— Rate karo</v>
      </c>
      <c r="E102" s="17"/>
      <c r="F102" s="17"/>
    </row>
    <row r="103" customFormat="false" ht="24" hidden="false" customHeight="true" outlineLevel="0" collapsed="false">
      <c r="A103" s="15"/>
      <c r="B103" s="15"/>
      <c r="C103" s="15"/>
      <c r="D103" s="16" t="str">
        <f aca="false">IF(C103="","— Rate karo",IF(C103&gt;=9,"🌟 Outstanding",IF(C103&gt;=7,"✅ Good",IF(C103&gt;=5,"🟡 Average",IF(C103&gt;=3,"🔴 Below Average","❌ Poor")))))</f>
        <v>— Rate karo</v>
      </c>
      <c r="E103" s="15"/>
      <c r="F103" s="15"/>
    </row>
    <row r="104" customFormat="false" ht="24" hidden="false" customHeight="true" outlineLevel="0" collapsed="false">
      <c r="A104" s="17"/>
      <c r="B104" s="17"/>
      <c r="C104" s="17"/>
      <c r="D104" s="18" t="str">
        <f aca="false">IF(C104="","— Rate karo",IF(C104&gt;=9,"🌟 Outstanding",IF(C104&gt;=7,"✅ Good",IF(C104&gt;=5,"🟡 Average",IF(C104&gt;=3,"🔴 Below Average","❌ Poor")))))</f>
        <v>— Rate karo</v>
      </c>
      <c r="E104" s="17"/>
      <c r="F104" s="17"/>
    </row>
  </sheetData>
  <mergeCells count="3">
    <mergeCell ref="A1:F1"/>
    <mergeCell ref="A2:F2"/>
    <mergeCell ref="A3:F3"/>
  </mergeCells>
  <conditionalFormatting sqref="C5:C104">
    <cfRule type="colorScale" priority="2">
      <colorScale>
        <cfvo type="num" val="1"/>
        <cfvo type="num" val="5"/>
        <cfvo type="num" val="10"/>
        <color rgb="FFF8696B"/>
        <color rgb="FFFFEB84"/>
        <color rgb="FF63BE7B"/>
      </colorScale>
    </cfRule>
  </conditionalFormatting>
  <conditionalFormatting sqref="D5:D104">
    <cfRule type="expression" priority="3" aboveAverage="0" equalAverage="0" bottom="0" percent="0" rank="0" text="" dxfId="2">
      <formula>ISNUMBER(SEARCH("Outstanding",D5))</formula>
    </cfRule>
    <cfRule type="expression" priority="4" aboveAverage="0" equalAverage="0" bottom="0" percent="0" rank="0" text="" dxfId="1">
      <formula>ISNUMBER(SEARCH("Good",D5))</formula>
    </cfRule>
    <cfRule type="expression" priority="5" aboveAverage="0" equalAverage="0" bottom="0" percent="0" rank="0" text="" dxfId="3">
      <formula>ISNUMBER(SEARCH("Average",D5))</formula>
    </cfRule>
    <cfRule type="expression" priority="6" aboveAverage="0" equalAverage="0" bottom="0" percent="0" rank="0" text="" dxfId="0">
      <formula>ISNUMBER(SEARCH("Below",D5))</formula>
    </cfRule>
    <cfRule type="expression" priority="7" aboveAverage="0" equalAverage="0" bottom="0" percent="0" rank="0" text="" dxfId="0">
      <formula>ISNUMBER(SEARCH("Poor",D5))</formula>
    </cfRule>
  </conditionalFormatting>
  <dataValidations count="1">
    <dataValidation allowBlank="true" error="Sirf 1 se 10 ke beech number daalo" errorStyle="stop" errorTitle="❌ Invalid Rating" operator="between" prompt="1 (sabse kam) se 10 (sabse achha) tak" promptTitle="Rating Daalo" showDropDown="false" showErrorMessage="false" showInputMessage="false" sqref="C5:C104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20"/>
  </cols>
  <sheetData>
    <row r="1" customFormat="false" ht="37.5" hidden="false" customHeight="true" outlineLevel="0" collapsed="false">
      <c r="A1" s="19" t="s">
        <v>21</v>
      </c>
      <c r="B1" s="19"/>
      <c r="C1" s="19"/>
      <c r="D1" s="19"/>
      <c r="E1" s="19"/>
      <c r="F1" s="19"/>
      <c r="G1" s="19"/>
      <c r="H1" s="19"/>
      <c r="I1" s="19"/>
      <c r="J1" s="19"/>
    </row>
    <row r="2" customFormat="false" ht="21.75" hidden="false" customHeight="true" outlineLevel="0" collapsed="false">
      <c r="A2" s="20" t="s">
        <v>22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7.5" hidden="false" customHeight="true" outlineLevel="0" collapsed="false"/>
    <row r="4" customFormat="false" ht="36" hidden="false" customHeight="true" outlineLevel="0" collapsed="false">
      <c r="A4" s="21" t="s">
        <v>4</v>
      </c>
      <c r="B4" s="21" t="s">
        <v>23</v>
      </c>
      <c r="C4" s="21" t="s">
        <v>24</v>
      </c>
      <c r="D4" s="21" t="s">
        <v>25</v>
      </c>
      <c r="E4" s="21" t="s">
        <v>26</v>
      </c>
      <c r="F4" s="21" t="s">
        <v>27</v>
      </c>
      <c r="G4" s="21" t="s">
        <v>28</v>
      </c>
      <c r="H4" s="21" t="s">
        <v>29</v>
      </c>
      <c r="I4" s="21" t="s">
        <v>30</v>
      </c>
      <c r="J4" s="21" t="s">
        <v>31</v>
      </c>
    </row>
    <row r="5" customFormat="false" ht="25.5" hidden="false" customHeight="true" outlineLevel="0" collapsed="false">
      <c r="A5" s="22" t="s">
        <v>32</v>
      </c>
      <c r="B5" s="23" t="n">
        <f aca="false">COUNTIF('📋 Daily Task Log'!$B$5:$B$104,A5)</f>
        <v>0</v>
      </c>
      <c r="C5" s="23" t="n">
        <f aca="false">COUNTIFS('📋 Daily Task Log'!$B$5:$B$104,A5,'📋 Daily Task Log'!$H$5:$H$104,"WFH")</f>
        <v>0</v>
      </c>
      <c r="D5" s="23" t="n">
        <f aca="false">B5-C5</f>
        <v>0</v>
      </c>
      <c r="E5" s="24" t="n">
        <f aca="false">IFERROR(C5/B5,0)</f>
        <v>0</v>
      </c>
      <c r="F5" s="25" t="str">
        <f aca="false">IFERROR(AVERAGEIF('⭐ My Ratings'!$B$5:$B$104,A5,'⭐ My Ratings'!$C$5:$C$104),"No Rating")</f>
        <v>No Rating</v>
      </c>
      <c r="G5" s="25" t="n">
        <f aca="false">IFERROR(MIN(ROUND(E5/0.1*0.5,1),3),0)</f>
        <v>0</v>
      </c>
      <c r="H5" s="26" t="str">
        <f aca="false">IFERROR(MAX(F5-G5,1),"—")</f>
        <v>—</v>
      </c>
      <c r="I5" s="22" t="str">
        <f aca="false">IF(H5="—","No Data",IF(H5&gt;=9,"🌟 Outstanding",IF(H5&gt;=7,"✅ Good",IF(H5&gt;=5,"🟡 Average",IF(H5&gt;=3,"🔴 Below Avg","❌ Poor")))))</f>
        <v>No Data</v>
      </c>
      <c r="J5" s="22" t="str">
        <f aca="false">IF(B5=0,"—",IF(E5=0,"💚 Full Incentive",IF(E5&lt;=0.1,"⬇ -5%",IF(E5&lt;=0.3,"⬇ -10%",IF(E5&lt;=0.5,"⬇ -20%","⬇ -30% 🔴")))))</f>
        <v>—</v>
      </c>
    </row>
    <row r="6" customFormat="false" ht="25.5" hidden="false" customHeight="true" outlineLevel="0" collapsed="false">
      <c r="A6" s="27" t="s">
        <v>33</v>
      </c>
      <c r="B6" s="28" t="n">
        <f aca="false">COUNTIF('📋 Daily Task Log'!$B$5:$B$104,A6)</f>
        <v>0</v>
      </c>
      <c r="C6" s="28" t="n">
        <f aca="false">COUNTIFS('📋 Daily Task Log'!$B$5:$B$104,A6,'📋 Daily Task Log'!$H$5:$H$104,"WFH")</f>
        <v>0</v>
      </c>
      <c r="D6" s="28" t="n">
        <f aca="false">B6-C6</f>
        <v>0</v>
      </c>
      <c r="E6" s="29" t="n">
        <f aca="false">IFERROR(C6/B6,0)</f>
        <v>0</v>
      </c>
      <c r="F6" s="30" t="str">
        <f aca="false">IFERROR(AVERAGEIF('⭐ My Ratings'!$B$5:$B$104,A6,'⭐ My Ratings'!$C$5:$C$104),"No Rating")</f>
        <v>No Rating</v>
      </c>
      <c r="G6" s="30" t="n">
        <f aca="false">IFERROR(MIN(ROUND(E6/0.1*0.5,1),3),0)</f>
        <v>0</v>
      </c>
      <c r="H6" s="31" t="str">
        <f aca="false">IFERROR(MAX(F6-G6,1),"—")</f>
        <v>—</v>
      </c>
      <c r="I6" s="27" t="str">
        <f aca="false">IF(H6="—","No Data",IF(H6&gt;=9,"🌟 Outstanding",IF(H6&gt;=7,"✅ Good",IF(H6&gt;=5,"🟡 Average",IF(H6&gt;=3,"🔴 Below Avg","❌ Poor")))))</f>
        <v>No Data</v>
      </c>
      <c r="J6" s="27" t="str">
        <f aca="false">IF(B6=0,"—",IF(E6=0,"💚 Full Incentive",IF(E6&lt;=0.1,"⬇ -5%",IF(E6&lt;=0.3,"⬇ -10%",IF(E6&lt;=0.5,"⬇ -20%","⬇ -30% 🔴")))))</f>
        <v>—</v>
      </c>
    </row>
    <row r="7" customFormat="false" ht="25.5" hidden="false" customHeight="true" outlineLevel="0" collapsed="false">
      <c r="A7" s="22" t="s">
        <v>34</v>
      </c>
      <c r="B7" s="23" t="n">
        <f aca="false">COUNTIF('📋 Daily Task Log'!$B$5:$B$104,A7)</f>
        <v>0</v>
      </c>
      <c r="C7" s="23" t="n">
        <f aca="false">COUNTIFS('📋 Daily Task Log'!$B$5:$B$104,A7,'📋 Daily Task Log'!$H$5:$H$104,"WFH")</f>
        <v>0</v>
      </c>
      <c r="D7" s="23" t="n">
        <f aca="false">B7-C7</f>
        <v>0</v>
      </c>
      <c r="E7" s="24" t="n">
        <f aca="false">IFERROR(C7/B7,0)</f>
        <v>0</v>
      </c>
      <c r="F7" s="25" t="str">
        <f aca="false">IFERROR(AVERAGEIF('⭐ My Ratings'!$B$5:$B$104,A7,'⭐ My Ratings'!$C$5:$C$104),"No Rating")</f>
        <v>No Rating</v>
      </c>
      <c r="G7" s="25" t="n">
        <f aca="false">IFERROR(MIN(ROUND(E7/0.1*0.5,1),3),0)</f>
        <v>0</v>
      </c>
      <c r="H7" s="26" t="str">
        <f aca="false">IFERROR(MAX(F7-G7,1),"—")</f>
        <v>—</v>
      </c>
      <c r="I7" s="22" t="str">
        <f aca="false">IF(H7="—","No Data",IF(H7&gt;=9,"🌟 Outstanding",IF(H7&gt;=7,"✅ Good",IF(H7&gt;=5,"🟡 Average",IF(H7&gt;=3,"🔴 Below Avg","❌ Poor")))))</f>
        <v>No Data</v>
      </c>
      <c r="J7" s="22" t="str">
        <f aca="false">IF(B7=0,"—",IF(E7=0,"💚 Full Incentive",IF(E7&lt;=0.1,"⬇ -5%",IF(E7&lt;=0.3,"⬇ -10%",IF(E7&lt;=0.5,"⬇ -20%","⬇ -30% 🔴")))))</f>
        <v>—</v>
      </c>
    </row>
    <row r="8" customFormat="false" ht="25.5" hidden="false" customHeight="true" outlineLevel="0" collapsed="false">
      <c r="A8" s="27" t="s">
        <v>35</v>
      </c>
      <c r="B8" s="28" t="n">
        <f aca="false">COUNTIF('📋 Daily Task Log'!$B$5:$B$104,A8)</f>
        <v>0</v>
      </c>
      <c r="C8" s="28" t="n">
        <f aca="false">COUNTIFS('📋 Daily Task Log'!$B$5:$B$104,A8,'📋 Daily Task Log'!$H$5:$H$104,"WFH")</f>
        <v>0</v>
      </c>
      <c r="D8" s="28" t="n">
        <f aca="false">B8-C8</f>
        <v>0</v>
      </c>
      <c r="E8" s="29" t="n">
        <f aca="false">IFERROR(C8/B8,0)</f>
        <v>0</v>
      </c>
      <c r="F8" s="30" t="str">
        <f aca="false">IFERROR(AVERAGEIF('⭐ My Ratings'!$B$5:$B$104,A8,'⭐ My Ratings'!$C$5:$C$104),"No Rating")</f>
        <v>No Rating</v>
      </c>
      <c r="G8" s="30" t="n">
        <f aca="false">IFERROR(MIN(ROUND(E8/0.1*0.5,1),3),0)</f>
        <v>0</v>
      </c>
      <c r="H8" s="31" t="str">
        <f aca="false">IFERROR(MAX(F8-G8,1),"—")</f>
        <v>—</v>
      </c>
      <c r="I8" s="27" t="str">
        <f aca="false">IF(H8="—","No Data",IF(H8&gt;=9,"🌟 Outstanding",IF(H8&gt;=7,"✅ Good",IF(H8&gt;=5,"🟡 Average",IF(H8&gt;=3,"🔴 Below Avg","❌ Poor")))))</f>
        <v>No Data</v>
      </c>
      <c r="J8" s="27" t="str">
        <f aca="false">IF(B8=0,"—",IF(E8=0,"💚 Full Incentive",IF(E8&lt;=0.1,"⬇ -5%",IF(E8&lt;=0.3,"⬇ -10%",IF(E8&lt;=0.5,"⬇ -20%","⬇ -30% 🔴")))))</f>
        <v>—</v>
      </c>
    </row>
    <row r="9" customFormat="false" ht="25.5" hidden="false" customHeight="true" outlineLevel="0" collapsed="false">
      <c r="A9" s="22" t="s">
        <v>36</v>
      </c>
      <c r="B9" s="23" t="n">
        <f aca="false">COUNTIF('📋 Daily Task Log'!$B$5:$B$104,A9)</f>
        <v>0</v>
      </c>
      <c r="C9" s="23" t="n">
        <f aca="false">COUNTIFS('📋 Daily Task Log'!$B$5:$B$104,A9,'📋 Daily Task Log'!$H$5:$H$104,"WFH")</f>
        <v>0</v>
      </c>
      <c r="D9" s="23" t="n">
        <f aca="false">B9-C9</f>
        <v>0</v>
      </c>
      <c r="E9" s="24" t="n">
        <f aca="false">IFERROR(C9/B9,0)</f>
        <v>0</v>
      </c>
      <c r="F9" s="25" t="str">
        <f aca="false">IFERROR(AVERAGEIF('⭐ My Ratings'!$B$5:$B$104,A9,'⭐ My Ratings'!$C$5:$C$104),"No Rating")</f>
        <v>No Rating</v>
      </c>
      <c r="G9" s="25" t="n">
        <f aca="false">IFERROR(MIN(ROUND(E9/0.1*0.5,1),3),0)</f>
        <v>0</v>
      </c>
      <c r="H9" s="26" t="str">
        <f aca="false">IFERROR(MAX(F9-G9,1),"—")</f>
        <v>—</v>
      </c>
      <c r="I9" s="22" t="str">
        <f aca="false">IF(H9="—","No Data",IF(H9&gt;=9,"🌟 Outstanding",IF(H9&gt;=7,"✅ Good",IF(H9&gt;=5,"🟡 Average",IF(H9&gt;=3,"🔴 Below Avg","❌ Poor")))))</f>
        <v>No Data</v>
      </c>
      <c r="J9" s="22" t="str">
        <f aca="false">IF(B9=0,"—",IF(E9=0,"💚 Full Incentive",IF(E9&lt;=0.1,"⬇ -5%",IF(E9&lt;=0.3,"⬇ -10%",IF(E9&lt;=0.5,"⬇ -20%","⬇ -30% 🔴")))))</f>
        <v>—</v>
      </c>
    </row>
    <row r="10" customFormat="false" ht="25.5" hidden="false" customHeight="true" outlineLevel="0" collapsed="false">
      <c r="A10" s="27" t="s">
        <v>37</v>
      </c>
      <c r="B10" s="28" t="n">
        <f aca="false">COUNTIF('📋 Daily Task Log'!$B$5:$B$104,A10)</f>
        <v>0</v>
      </c>
      <c r="C10" s="28" t="n">
        <f aca="false">COUNTIFS('📋 Daily Task Log'!$B$5:$B$104,A10,'📋 Daily Task Log'!$H$5:$H$104,"WFH")</f>
        <v>0</v>
      </c>
      <c r="D10" s="28" t="n">
        <f aca="false">B10-C10</f>
        <v>0</v>
      </c>
      <c r="E10" s="29" t="n">
        <f aca="false">IFERROR(C10/B10,0)</f>
        <v>0</v>
      </c>
      <c r="F10" s="30" t="str">
        <f aca="false">IFERROR(AVERAGEIF('⭐ My Ratings'!$B$5:$B$104,A10,'⭐ My Ratings'!$C$5:$C$104),"No Rating")</f>
        <v>No Rating</v>
      </c>
      <c r="G10" s="30" t="n">
        <f aca="false">IFERROR(MIN(ROUND(E10/0.1*0.5,1),3),0)</f>
        <v>0</v>
      </c>
      <c r="H10" s="31" t="str">
        <f aca="false">IFERROR(MAX(F10-G10,1),"—")</f>
        <v>—</v>
      </c>
      <c r="I10" s="27" t="str">
        <f aca="false">IF(H10="—","No Data",IF(H10&gt;=9,"🌟 Outstanding",IF(H10&gt;=7,"✅ Good",IF(H10&gt;=5,"🟡 Average",IF(H10&gt;=3,"🔴 Below Avg","❌ Poor")))))</f>
        <v>No Data</v>
      </c>
      <c r="J10" s="27" t="str">
        <f aca="false">IF(B10=0,"—",IF(E10=0,"💚 Full Incentive",IF(E10&lt;=0.1,"⬇ -5%",IF(E10&lt;=0.3,"⬇ -10%",IF(E10&lt;=0.5,"⬇ -20%","⬇ -30% 🔴")))))</f>
        <v>—</v>
      </c>
    </row>
    <row r="11" customFormat="false" ht="25.5" hidden="false" customHeight="true" outlineLevel="0" collapsed="false">
      <c r="A11" s="22" t="s">
        <v>38</v>
      </c>
      <c r="B11" s="23" t="n">
        <f aca="false">COUNTIF('📋 Daily Task Log'!$B$5:$B$104,A11)</f>
        <v>0</v>
      </c>
      <c r="C11" s="23" t="n">
        <f aca="false">COUNTIFS('📋 Daily Task Log'!$B$5:$B$104,A11,'📋 Daily Task Log'!$H$5:$H$104,"WFH")</f>
        <v>0</v>
      </c>
      <c r="D11" s="23" t="n">
        <f aca="false">B11-C11</f>
        <v>0</v>
      </c>
      <c r="E11" s="24" t="n">
        <f aca="false">IFERROR(C11/B11,0)</f>
        <v>0</v>
      </c>
      <c r="F11" s="25" t="str">
        <f aca="false">IFERROR(AVERAGEIF('⭐ My Ratings'!$B$5:$B$104,A11,'⭐ My Ratings'!$C$5:$C$104),"No Rating")</f>
        <v>No Rating</v>
      </c>
      <c r="G11" s="25" t="n">
        <f aca="false">IFERROR(MIN(ROUND(E11/0.1*0.5,1),3),0)</f>
        <v>0</v>
      </c>
      <c r="H11" s="26" t="str">
        <f aca="false">IFERROR(MAX(F11-G11,1),"—")</f>
        <v>—</v>
      </c>
      <c r="I11" s="22" t="str">
        <f aca="false">IF(H11="—","No Data",IF(H11&gt;=9,"🌟 Outstanding",IF(H11&gt;=7,"✅ Good",IF(H11&gt;=5,"🟡 Average",IF(H11&gt;=3,"🔴 Below Avg","❌ Poor")))))</f>
        <v>No Data</v>
      </c>
      <c r="J11" s="22" t="str">
        <f aca="false">IF(B11=0,"—",IF(E11=0,"💚 Full Incentive",IF(E11&lt;=0.1,"⬇ -5%",IF(E11&lt;=0.3,"⬇ -10%",IF(E11&lt;=0.5,"⬇ -20%","⬇ -30% 🔴")))))</f>
        <v>—</v>
      </c>
    </row>
    <row r="12" customFormat="false" ht="25.5" hidden="false" customHeight="true" outlineLevel="0" collapsed="false">
      <c r="A12" s="27" t="s">
        <v>39</v>
      </c>
      <c r="B12" s="28" t="n">
        <f aca="false">COUNTIF('📋 Daily Task Log'!$B$5:$B$104,A12)</f>
        <v>0</v>
      </c>
      <c r="C12" s="28" t="n">
        <f aca="false">COUNTIFS('📋 Daily Task Log'!$B$5:$B$104,A12,'📋 Daily Task Log'!$H$5:$H$104,"WFH")</f>
        <v>0</v>
      </c>
      <c r="D12" s="28" t="n">
        <f aca="false">B12-C12</f>
        <v>0</v>
      </c>
      <c r="E12" s="29" t="n">
        <f aca="false">IFERROR(C12/B12,0)</f>
        <v>0</v>
      </c>
      <c r="F12" s="30" t="str">
        <f aca="false">IFERROR(AVERAGEIF('⭐ My Ratings'!$B$5:$B$104,A12,'⭐ My Ratings'!$C$5:$C$104),"No Rating")</f>
        <v>No Rating</v>
      </c>
      <c r="G12" s="30" t="n">
        <f aca="false">IFERROR(MIN(ROUND(E12/0.1*0.5,1),3),0)</f>
        <v>0</v>
      </c>
      <c r="H12" s="31" t="str">
        <f aca="false">IFERROR(MAX(F12-G12,1),"—")</f>
        <v>—</v>
      </c>
      <c r="I12" s="27" t="str">
        <f aca="false">IF(H12="—","No Data",IF(H12&gt;=9,"🌟 Outstanding",IF(H12&gt;=7,"✅ Good",IF(H12&gt;=5,"🟡 Average",IF(H12&gt;=3,"🔴 Below Avg","❌ Poor")))))</f>
        <v>No Data</v>
      </c>
      <c r="J12" s="27" t="str">
        <f aca="false">IF(B12=0,"—",IF(E12=0,"💚 Full Incentive",IF(E12&lt;=0.1,"⬇ -5%",IF(E12&lt;=0.3,"⬇ -10%",IF(E12&lt;=0.5,"⬇ -20%","⬇ -30% 🔴")))))</f>
        <v>—</v>
      </c>
    </row>
    <row r="13" customFormat="false" ht="25.5" hidden="false" customHeight="true" outlineLevel="0" collapsed="false">
      <c r="A13" s="22" t="s">
        <v>40</v>
      </c>
      <c r="B13" s="23" t="n">
        <f aca="false">COUNTIF('📋 Daily Task Log'!$B$5:$B$104,A13)</f>
        <v>0</v>
      </c>
      <c r="C13" s="23" t="n">
        <f aca="false">COUNTIFS('📋 Daily Task Log'!$B$5:$B$104,A13,'📋 Daily Task Log'!$H$5:$H$104,"WFH")</f>
        <v>0</v>
      </c>
      <c r="D13" s="23" t="n">
        <f aca="false">B13-C13</f>
        <v>0</v>
      </c>
      <c r="E13" s="24" t="n">
        <f aca="false">IFERROR(C13/B13,0)</f>
        <v>0</v>
      </c>
      <c r="F13" s="25" t="str">
        <f aca="false">IFERROR(AVERAGEIF('⭐ My Ratings'!$B$5:$B$104,A13,'⭐ My Ratings'!$C$5:$C$104),"No Rating")</f>
        <v>No Rating</v>
      </c>
      <c r="G13" s="25" t="n">
        <f aca="false">IFERROR(MIN(ROUND(E13/0.1*0.5,1),3),0)</f>
        <v>0</v>
      </c>
      <c r="H13" s="26" t="str">
        <f aca="false">IFERROR(MAX(F13-G13,1),"—")</f>
        <v>—</v>
      </c>
      <c r="I13" s="22" t="str">
        <f aca="false">IF(H13="—","No Data",IF(H13&gt;=9,"🌟 Outstanding",IF(H13&gt;=7,"✅ Good",IF(H13&gt;=5,"🟡 Average",IF(H13&gt;=3,"🔴 Below Avg","❌ Poor")))))</f>
        <v>No Data</v>
      </c>
      <c r="J13" s="22" t="str">
        <f aca="false">IF(B13=0,"—",IF(E13=0,"💚 Full Incentive",IF(E13&lt;=0.1,"⬇ -5%",IF(E13&lt;=0.3,"⬇ -10%",IF(E13&lt;=0.5,"⬇ -20%","⬇ -30% 🔴")))))</f>
        <v>—</v>
      </c>
    </row>
    <row r="14" customFormat="false" ht="25.5" hidden="false" customHeight="true" outlineLevel="0" collapsed="false">
      <c r="A14" s="27" t="s">
        <v>41</v>
      </c>
      <c r="B14" s="28" t="n">
        <f aca="false">COUNTIF('📋 Daily Task Log'!$B$5:$B$104,A14)</f>
        <v>0</v>
      </c>
      <c r="C14" s="28" t="n">
        <f aca="false">COUNTIFS('📋 Daily Task Log'!$B$5:$B$104,A14,'📋 Daily Task Log'!$H$5:$H$104,"WFH")</f>
        <v>0</v>
      </c>
      <c r="D14" s="28" t="n">
        <f aca="false">B14-C14</f>
        <v>0</v>
      </c>
      <c r="E14" s="29" t="n">
        <f aca="false">IFERROR(C14/B14,0)</f>
        <v>0</v>
      </c>
      <c r="F14" s="30" t="str">
        <f aca="false">IFERROR(AVERAGEIF('⭐ My Ratings'!$B$5:$B$104,A14,'⭐ My Ratings'!$C$5:$C$104),"No Rating")</f>
        <v>No Rating</v>
      </c>
      <c r="G14" s="30" t="n">
        <f aca="false">IFERROR(MIN(ROUND(E14/0.1*0.5,1),3),0)</f>
        <v>0</v>
      </c>
      <c r="H14" s="31" t="str">
        <f aca="false">IFERROR(MAX(F14-G14,1),"—")</f>
        <v>—</v>
      </c>
      <c r="I14" s="27" t="str">
        <f aca="false">IF(H14="—","No Data",IF(H14&gt;=9,"🌟 Outstanding",IF(H14&gt;=7,"✅ Good",IF(H14&gt;=5,"🟡 Average",IF(H14&gt;=3,"🔴 Below Avg","❌ Poor")))))</f>
        <v>No Data</v>
      </c>
      <c r="J14" s="27" t="str">
        <f aca="false">IF(B14=0,"—",IF(E14=0,"💚 Full Incentive",IF(E14&lt;=0.1,"⬇ -5%",IF(E14&lt;=0.3,"⬇ -10%",IF(E14&lt;=0.5,"⬇ -20%","⬇ -30% 🔴")))))</f>
        <v>—</v>
      </c>
    </row>
    <row r="15" customFormat="false" ht="25.5" hidden="false" customHeight="true" outlineLevel="0" collapsed="false">
      <c r="A15" s="22" t="s">
        <v>42</v>
      </c>
      <c r="B15" s="23" t="n">
        <f aca="false">COUNTIF('📋 Daily Task Log'!$B$5:$B$104,A15)</f>
        <v>0</v>
      </c>
      <c r="C15" s="23" t="n">
        <f aca="false">COUNTIFS('📋 Daily Task Log'!$B$5:$B$104,A15,'📋 Daily Task Log'!$H$5:$H$104,"WFH")</f>
        <v>0</v>
      </c>
      <c r="D15" s="23" t="n">
        <f aca="false">B15-C15</f>
        <v>0</v>
      </c>
      <c r="E15" s="24" t="n">
        <f aca="false">IFERROR(C15/B15,0)</f>
        <v>0</v>
      </c>
      <c r="F15" s="25" t="str">
        <f aca="false">IFERROR(AVERAGEIF('⭐ My Ratings'!$B$5:$B$104,A15,'⭐ My Ratings'!$C$5:$C$104),"No Rating")</f>
        <v>No Rating</v>
      </c>
      <c r="G15" s="25" t="n">
        <f aca="false">IFERROR(MIN(ROUND(E15/0.1*0.5,1),3),0)</f>
        <v>0</v>
      </c>
      <c r="H15" s="26" t="str">
        <f aca="false">IFERROR(MAX(F15-G15,1),"—")</f>
        <v>—</v>
      </c>
      <c r="I15" s="22" t="str">
        <f aca="false">IF(H15="—","No Data",IF(H15&gt;=9,"🌟 Outstanding",IF(H15&gt;=7,"✅ Good",IF(H15&gt;=5,"🟡 Average",IF(H15&gt;=3,"🔴 Below Avg","❌ Poor")))))</f>
        <v>No Data</v>
      </c>
      <c r="J15" s="22" t="str">
        <f aca="false">IF(B15=0,"—",IF(E15=0,"💚 Full Incentive",IF(E15&lt;=0.1,"⬇ -5%",IF(E15&lt;=0.3,"⬇ -10%",IF(E15&lt;=0.5,"⬇ -20%","⬇ -30% 🔴")))))</f>
        <v>—</v>
      </c>
    </row>
    <row r="16" customFormat="false" ht="25.5" hidden="false" customHeight="true" outlineLevel="0" collapsed="false">
      <c r="A16" s="27" t="s">
        <v>43</v>
      </c>
      <c r="B16" s="28" t="n">
        <f aca="false">COUNTIF('📋 Daily Task Log'!$B$5:$B$104,A16)</f>
        <v>0</v>
      </c>
      <c r="C16" s="28" t="n">
        <f aca="false">COUNTIFS('📋 Daily Task Log'!$B$5:$B$104,A16,'📋 Daily Task Log'!$H$5:$H$104,"WFH")</f>
        <v>0</v>
      </c>
      <c r="D16" s="28" t="n">
        <f aca="false">B16-C16</f>
        <v>0</v>
      </c>
      <c r="E16" s="29" t="n">
        <f aca="false">IFERROR(C16/B16,0)</f>
        <v>0</v>
      </c>
      <c r="F16" s="30" t="str">
        <f aca="false">IFERROR(AVERAGEIF('⭐ My Ratings'!$B$5:$B$104,A16,'⭐ My Ratings'!$C$5:$C$104),"No Rating")</f>
        <v>No Rating</v>
      </c>
      <c r="G16" s="30" t="n">
        <f aca="false">IFERROR(MIN(ROUND(E16/0.1*0.5,1),3),0)</f>
        <v>0</v>
      </c>
      <c r="H16" s="31" t="str">
        <f aca="false">IFERROR(MAX(F16-G16,1),"—")</f>
        <v>—</v>
      </c>
      <c r="I16" s="27" t="str">
        <f aca="false">IF(H16="—","No Data",IF(H16&gt;=9,"🌟 Outstanding",IF(H16&gt;=7,"✅ Good",IF(H16&gt;=5,"🟡 Average",IF(H16&gt;=3,"🔴 Below Avg","❌ Poor")))))</f>
        <v>No Data</v>
      </c>
      <c r="J16" s="27" t="str">
        <f aca="false">IF(B16=0,"—",IF(E16=0,"💚 Full Incentive",IF(E16&lt;=0.1,"⬇ -5%",IF(E16&lt;=0.3,"⬇ -10%",IF(E16&lt;=0.5,"⬇ -20%","⬇ -30% 🔴")))))</f>
        <v>—</v>
      </c>
    </row>
    <row r="17" customFormat="false" ht="25.5" hidden="false" customHeight="true" outlineLevel="0" collapsed="false">
      <c r="A17" s="22" t="s">
        <v>44</v>
      </c>
      <c r="B17" s="23" t="n">
        <f aca="false">COUNTIF('📋 Daily Task Log'!$B$5:$B$104,A17)</f>
        <v>0</v>
      </c>
      <c r="C17" s="23" t="n">
        <f aca="false">COUNTIFS('📋 Daily Task Log'!$B$5:$B$104,A17,'📋 Daily Task Log'!$H$5:$H$104,"WFH")</f>
        <v>0</v>
      </c>
      <c r="D17" s="23" t="n">
        <f aca="false">B17-C17</f>
        <v>0</v>
      </c>
      <c r="E17" s="24" t="n">
        <f aca="false">IFERROR(C17/B17,0)</f>
        <v>0</v>
      </c>
      <c r="F17" s="25" t="str">
        <f aca="false">IFERROR(AVERAGEIF('⭐ My Ratings'!$B$5:$B$104,A17,'⭐ My Ratings'!$C$5:$C$104),"No Rating")</f>
        <v>No Rating</v>
      </c>
      <c r="G17" s="25" t="n">
        <f aca="false">IFERROR(MIN(ROUND(E17/0.1*0.5,1),3),0)</f>
        <v>0</v>
      </c>
      <c r="H17" s="26" t="str">
        <f aca="false">IFERROR(MAX(F17-G17,1),"—")</f>
        <v>—</v>
      </c>
      <c r="I17" s="22" t="str">
        <f aca="false">IF(H17="—","No Data",IF(H17&gt;=9,"🌟 Outstanding",IF(H17&gt;=7,"✅ Good",IF(H17&gt;=5,"🟡 Average",IF(H17&gt;=3,"🔴 Below Avg","❌ Poor")))))</f>
        <v>No Data</v>
      </c>
      <c r="J17" s="22" t="str">
        <f aca="false">IF(B17=0,"—",IF(E17=0,"💚 Full Incentive",IF(E17&lt;=0.1,"⬇ -5%",IF(E17&lt;=0.3,"⬇ -10%",IF(E17&lt;=0.5,"⬇ -20%","⬇ -30% 🔴")))))</f>
        <v>—</v>
      </c>
    </row>
    <row r="18" customFormat="false" ht="25.5" hidden="false" customHeight="true" outlineLevel="0" collapsed="false">
      <c r="A18" s="27" t="s">
        <v>45</v>
      </c>
      <c r="B18" s="28" t="n">
        <f aca="false">COUNTIF('📋 Daily Task Log'!$B$5:$B$104,A18)</f>
        <v>0</v>
      </c>
      <c r="C18" s="28" t="n">
        <f aca="false">COUNTIFS('📋 Daily Task Log'!$B$5:$B$104,A18,'📋 Daily Task Log'!$H$5:$H$104,"WFH")</f>
        <v>0</v>
      </c>
      <c r="D18" s="28" t="n">
        <f aca="false">B18-C18</f>
        <v>0</v>
      </c>
      <c r="E18" s="29" t="n">
        <f aca="false">IFERROR(C18/B18,0)</f>
        <v>0</v>
      </c>
      <c r="F18" s="30" t="str">
        <f aca="false">IFERROR(AVERAGEIF('⭐ My Ratings'!$B$5:$B$104,A18,'⭐ My Ratings'!$C$5:$C$104),"No Rating")</f>
        <v>No Rating</v>
      </c>
      <c r="G18" s="30" t="n">
        <f aca="false">IFERROR(MIN(ROUND(E18/0.1*0.5,1),3),0)</f>
        <v>0</v>
      </c>
      <c r="H18" s="31" t="str">
        <f aca="false">IFERROR(MAX(F18-G18,1),"—")</f>
        <v>—</v>
      </c>
      <c r="I18" s="27" t="str">
        <f aca="false">IF(H18="—","No Data",IF(H18&gt;=9,"🌟 Outstanding",IF(H18&gt;=7,"✅ Good",IF(H18&gt;=5,"🟡 Average",IF(H18&gt;=3,"🔴 Below Avg","❌ Poor")))))</f>
        <v>No Data</v>
      </c>
      <c r="J18" s="27" t="str">
        <f aca="false">IF(B18=0,"—",IF(E18=0,"💚 Full Incentive",IF(E18&lt;=0.1,"⬇ -5%",IF(E18&lt;=0.3,"⬇ -10%",IF(E18&lt;=0.5,"⬇ -20%","⬇ -30% 🔴")))))</f>
        <v>—</v>
      </c>
    </row>
    <row r="19" customFormat="false" ht="25.5" hidden="false" customHeight="true" outlineLevel="0" collapsed="false">
      <c r="A19" s="22" t="s">
        <v>46</v>
      </c>
      <c r="B19" s="23" t="n">
        <f aca="false">COUNTIF('📋 Daily Task Log'!$B$5:$B$104,A19)</f>
        <v>0</v>
      </c>
      <c r="C19" s="23" t="n">
        <f aca="false">COUNTIFS('📋 Daily Task Log'!$B$5:$B$104,A19,'📋 Daily Task Log'!$H$5:$H$104,"WFH")</f>
        <v>0</v>
      </c>
      <c r="D19" s="23" t="n">
        <f aca="false">B19-C19</f>
        <v>0</v>
      </c>
      <c r="E19" s="24" t="n">
        <f aca="false">IFERROR(C19/B19,0)</f>
        <v>0</v>
      </c>
      <c r="F19" s="25" t="str">
        <f aca="false">IFERROR(AVERAGEIF('⭐ My Ratings'!$B$5:$B$104,A19,'⭐ My Ratings'!$C$5:$C$104),"No Rating")</f>
        <v>No Rating</v>
      </c>
      <c r="G19" s="25" t="n">
        <f aca="false">IFERROR(MIN(ROUND(E19/0.1*0.5,1),3),0)</f>
        <v>0</v>
      </c>
      <c r="H19" s="26" t="str">
        <f aca="false">IFERROR(MAX(F19-G19,1),"—")</f>
        <v>—</v>
      </c>
      <c r="I19" s="22" t="str">
        <f aca="false">IF(H19="—","No Data",IF(H19&gt;=9,"🌟 Outstanding",IF(H19&gt;=7,"✅ Good",IF(H19&gt;=5,"🟡 Average",IF(H19&gt;=3,"🔴 Below Avg","❌ Poor")))))</f>
        <v>No Data</v>
      </c>
      <c r="J19" s="22" t="str">
        <f aca="false">IF(B19=0,"—",IF(E19=0,"💚 Full Incentive",IF(E19&lt;=0.1,"⬇ -5%",IF(E19&lt;=0.3,"⬇ -10%",IF(E19&lt;=0.5,"⬇ -20%","⬇ -30% 🔴")))))</f>
        <v>—</v>
      </c>
    </row>
    <row r="20" customFormat="false" ht="27.75" hidden="false" customHeight="true" outlineLevel="0" collapsed="false">
      <c r="A20" s="32" t="s">
        <v>47</v>
      </c>
      <c r="B20" s="32"/>
      <c r="C20" s="32"/>
      <c r="D20" s="32"/>
      <c r="E20" s="33" t="n">
        <f aca="false">IFERROR(AVERAGE(E5:E19),0)</f>
        <v>0</v>
      </c>
      <c r="F20" s="34" t="n">
        <f aca="false">IFERROR(AVERAGE(F5:F19),0)</f>
        <v>0</v>
      </c>
      <c r="G20" s="32"/>
      <c r="H20" s="34" t="n">
        <f aca="false">IFERROR(AVERAGE(H5:H19),0)</f>
        <v>0</v>
      </c>
      <c r="I20" s="32"/>
      <c r="J20" s="32"/>
    </row>
  </sheetData>
  <mergeCells count="2">
    <mergeCell ref="A1:J1"/>
    <mergeCell ref="A2:J2"/>
  </mergeCells>
  <conditionalFormatting sqref="H5:H19">
    <cfRule type="colorScale" priority="2">
      <colorScale>
        <cfvo type="num" val="1"/>
        <cfvo type="num" val="5"/>
        <cfvo type="num" val="10"/>
        <color rgb="FFF8696B"/>
        <color rgb="FFFFEB84"/>
        <color rgb="FF63BE7B"/>
      </colorScale>
    </cfRule>
  </conditionalFormatting>
  <conditionalFormatting sqref="I5:I19">
    <cfRule type="expression" priority="3" aboveAverage="0" equalAverage="0" bottom="0" percent="0" rank="0" text="" dxfId="2">
      <formula>ISNUMBER(SEARCH("Outstanding",I5))</formula>
    </cfRule>
    <cfRule type="expression" priority="4" aboveAverage="0" equalAverage="0" bottom="0" percent="0" rank="0" text="" dxfId="1">
      <formula>ISNUMBER(SEARCH("Good",I5))</formula>
    </cfRule>
    <cfRule type="expression" priority="5" aboveAverage="0" equalAverage="0" bottom="0" percent="0" rank="0" text="" dxfId="3">
      <formula>ISNUMBER(SEARCH("Average",I5))</formula>
    </cfRule>
    <cfRule type="expression" priority="6" aboveAverage="0" equalAverage="0" bottom="0" percent="0" rank="0" text="" dxfId="0">
      <formula>ISNUMBER(SEARCH("Below",I5))</formula>
    </cfRule>
    <cfRule type="expression" priority="7" aboveAverage="0" equalAverage="0" bottom="0" percent="0" rank="0" text="" dxfId="0">
      <formula>ISNUMBER(SEARCH("Poor",I5))</formula>
    </cfRule>
  </conditionalFormatting>
  <conditionalFormatting sqref="J5:J19">
    <cfRule type="expression" priority="8" aboveAverage="0" equalAverage="0" bottom="0" percent="0" rank="0" text="" dxfId="1">
      <formula>ISNUMBER(SEARCH("Full",J5))</formula>
    </cfRule>
    <cfRule type="expression" priority="9" aboveAverage="0" equalAverage="0" bottom="0" percent="0" rank="0" text="" dxfId="0">
      <formula>ISNUMBER(SEARCH("30%",J5))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28"/>
  </cols>
  <sheetData>
    <row r="1" customFormat="false" ht="33.75" hidden="false" customHeight="true" outlineLevel="0" collapsed="false">
      <c r="A1" s="1" t="s">
        <v>48</v>
      </c>
      <c r="B1" s="1"/>
      <c r="C1" s="1"/>
      <c r="D1" s="1"/>
    </row>
    <row r="3" customFormat="false" ht="25.5" hidden="false" customHeight="true" outlineLevel="0" collapsed="false">
      <c r="A3" s="35" t="s">
        <v>49</v>
      </c>
      <c r="B3" s="35"/>
      <c r="C3" s="35"/>
      <c r="D3" s="35"/>
    </row>
    <row r="4" customFormat="false" ht="27.75" hidden="false" customHeight="true" outlineLevel="0" collapsed="false">
      <c r="A4" s="36" t="s">
        <v>50</v>
      </c>
      <c r="B4" s="37" t="s">
        <v>51</v>
      </c>
      <c r="C4" s="36" t="s">
        <v>52</v>
      </c>
      <c r="D4" s="36" t="s">
        <v>53</v>
      </c>
    </row>
    <row r="5" customFormat="false" ht="27.75" hidden="false" customHeight="true" outlineLevel="0" collapsed="false">
      <c r="A5" s="36" t="s">
        <v>54</v>
      </c>
      <c r="B5" s="37" t="s">
        <v>55</v>
      </c>
      <c r="C5" s="36" t="s">
        <v>56</v>
      </c>
      <c r="D5" s="36" t="s">
        <v>57</v>
      </c>
    </row>
    <row r="6" customFormat="false" ht="27.75" hidden="false" customHeight="true" outlineLevel="0" collapsed="false">
      <c r="A6" s="36" t="s">
        <v>58</v>
      </c>
      <c r="B6" s="37" t="s">
        <v>59</v>
      </c>
      <c r="C6" s="36" t="s">
        <v>60</v>
      </c>
      <c r="D6" s="36" t="s">
        <v>61</v>
      </c>
    </row>
    <row r="8" customFormat="false" ht="25.5" hidden="false" customHeight="true" outlineLevel="0" collapsed="false">
      <c r="A8" s="38" t="s">
        <v>62</v>
      </c>
      <c r="B8" s="38"/>
      <c r="C8" s="38"/>
      <c r="D8" s="38"/>
    </row>
    <row r="9" customFormat="false" ht="27.75" hidden="false" customHeight="true" outlineLevel="0" collapsed="false">
      <c r="A9" s="6" t="s">
        <v>50</v>
      </c>
      <c r="B9" s="39" t="s">
        <v>63</v>
      </c>
      <c r="C9" s="6" t="s">
        <v>64</v>
      </c>
      <c r="D9" s="6" t="s">
        <v>65</v>
      </c>
    </row>
    <row r="10" customFormat="false" ht="27.75" hidden="false" customHeight="true" outlineLevel="0" collapsed="false">
      <c r="A10" s="40" t="s">
        <v>54</v>
      </c>
      <c r="B10" s="41" t="s">
        <v>66</v>
      </c>
      <c r="C10" s="40" t="s">
        <v>67</v>
      </c>
      <c r="D10" s="40" t="s">
        <v>68</v>
      </c>
    </row>
    <row r="11" customFormat="false" ht="27.75" hidden="false" customHeight="true" outlineLevel="0" collapsed="false">
      <c r="A11" s="6" t="s">
        <v>58</v>
      </c>
      <c r="B11" s="39" t="s">
        <v>69</v>
      </c>
      <c r="C11" s="6" t="s">
        <v>70</v>
      </c>
      <c r="D11" s="6" t="s">
        <v>71</v>
      </c>
    </row>
    <row r="13" customFormat="false" ht="25.5" hidden="false" customHeight="true" outlineLevel="0" collapsed="false">
      <c r="A13" s="42" t="s">
        <v>72</v>
      </c>
      <c r="B13" s="42"/>
      <c r="C13" s="42"/>
      <c r="D13" s="42"/>
    </row>
    <row r="14" customFormat="false" ht="24" hidden="false" customHeight="true" outlineLevel="0" collapsed="false">
      <c r="A14" s="43" t="s">
        <v>26</v>
      </c>
      <c r="B14" s="43" t="s">
        <v>73</v>
      </c>
      <c r="C14" s="43" t="s">
        <v>74</v>
      </c>
      <c r="D14" s="43" t="s">
        <v>75</v>
      </c>
    </row>
    <row r="15" customFormat="false" ht="24" hidden="false" customHeight="true" outlineLevel="0" collapsed="false">
      <c r="A15" s="28" t="s">
        <v>76</v>
      </c>
      <c r="B15" s="28" t="s">
        <v>77</v>
      </c>
      <c r="C15" s="28" t="s">
        <v>78</v>
      </c>
      <c r="D15" s="28" t="s">
        <v>79</v>
      </c>
    </row>
    <row r="16" customFormat="false" ht="24" hidden="false" customHeight="true" outlineLevel="0" collapsed="false">
      <c r="A16" s="28" t="s">
        <v>80</v>
      </c>
      <c r="B16" s="28" t="s">
        <v>81</v>
      </c>
      <c r="C16" s="28" t="s">
        <v>82</v>
      </c>
      <c r="D16" s="28" t="s">
        <v>83</v>
      </c>
    </row>
    <row r="17" customFormat="false" ht="24" hidden="false" customHeight="true" outlineLevel="0" collapsed="false">
      <c r="A17" s="28" t="s">
        <v>84</v>
      </c>
      <c r="B17" s="28" t="s">
        <v>85</v>
      </c>
      <c r="C17" s="28" t="s">
        <v>86</v>
      </c>
      <c r="D17" s="28" t="s">
        <v>87</v>
      </c>
    </row>
    <row r="18" customFormat="false" ht="24" hidden="false" customHeight="true" outlineLevel="0" collapsed="false">
      <c r="A18" s="28" t="s">
        <v>88</v>
      </c>
      <c r="B18" s="28" t="s">
        <v>89</v>
      </c>
      <c r="C18" s="28" t="s">
        <v>90</v>
      </c>
      <c r="D18" s="28" t="s">
        <v>91</v>
      </c>
    </row>
    <row r="19" customFormat="false" ht="24" hidden="false" customHeight="true" outlineLevel="0" collapsed="false">
      <c r="A19" s="28" t="s">
        <v>92</v>
      </c>
      <c r="B19" s="28" t="s">
        <v>93</v>
      </c>
      <c r="C19" s="28" t="s">
        <v>94</v>
      </c>
      <c r="D19" s="28" t="s">
        <v>95</v>
      </c>
    </row>
    <row r="21" customFormat="false" ht="25.5" hidden="false" customHeight="true" outlineLevel="0" collapsed="false">
      <c r="A21" s="44" t="s">
        <v>96</v>
      </c>
      <c r="B21" s="44"/>
      <c r="C21" s="44"/>
      <c r="D21" s="44"/>
    </row>
    <row r="22" customFormat="false" ht="21.75" hidden="false" customHeight="true" outlineLevel="0" collapsed="false">
      <c r="A22" s="45" t="s">
        <v>97</v>
      </c>
      <c r="B22" s="45"/>
      <c r="C22" s="45"/>
      <c r="D22" s="45"/>
    </row>
    <row r="23" customFormat="false" ht="21.75" hidden="false" customHeight="true" outlineLevel="0" collapsed="false">
      <c r="A23" s="46" t="s">
        <v>98</v>
      </c>
      <c r="B23" s="46"/>
      <c r="C23" s="46"/>
      <c r="D23" s="46"/>
    </row>
    <row r="24" customFormat="false" ht="21.75" hidden="false" customHeight="true" outlineLevel="0" collapsed="false">
      <c r="A24" s="45" t="s">
        <v>99</v>
      </c>
      <c r="B24" s="45"/>
      <c r="C24" s="45"/>
      <c r="D24" s="45"/>
    </row>
    <row r="25" customFormat="false" ht="21.75" hidden="false" customHeight="true" outlineLevel="0" collapsed="false">
      <c r="A25" s="46" t="s">
        <v>100</v>
      </c>
      <c r="B25" s="46"/>
      <c r="C25" s="46"/>
      <c r="D25" s="46"/>
    </row>
    <row r="26" customFormat="false" ht="21.75" hidden="false" customHeight="true" outlineLevel="0" collapsed="false">
      <c r="A26" s="45" t="s">
        <v>101</v>
      </c>
      <c r="B26" s="45"/>
      <c r="C26" s="45"/>
      <c r="D26" s="45"/>
    </row>
  </sheetData>
  <mergeCells count="10">
    <mergeCell ref="A1:D1"/>
    <mergeCell ref="A3:D3"/>
    <mergeCell ref="A8:D8"/>
    <mergeCell ref="A13:D13"/>
    <mergeCell ref="A21:D21"/>
    <mergeCell ref="A22:D22"/>
    <mergeCell ref="A23:D23"/>
    <mergeCell ref="A24:D24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2026-06-16T11:10:00Z</dcterms:created>
  <dc:creator>openpyxl</dc:creator>
  <dc:description/>
  <dc:language>en-US</dc:language>
  <cp:lastModifiedBy/>
  <dcterms:modified xsi:type="dcterms:W3CDTF">2026-06-16T11:10:00Z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